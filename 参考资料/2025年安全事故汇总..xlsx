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9100" windowHeight="12740" tabRatio="761" firstSheet="1" activeTab="1"/>
  </bookViews>
  <sheets>
    <sheet name="指标统计" sheetId="5" r:id="rId1"/>
    <sheet name="25年安全事故明细（1-12月）" sheetId="1" r:id="rId2"/>
    <sheet name="24年事故（安全侧）" sheetId="7" state="hidden" r:id="rId3"/>
    <sheet name="Sheet11" sheetId="15" state="hidden" r:id="rId4"/>
  </sheets>
  <externalReferences>
    <externalReference r:id="rId5"/>
  </externalReferences>
  <definedNames>
    <definedName name="_xlnm._FilterDatabase" localSheetId="1" hidden="1">'25年安全事故明细（1-12月）'!$A$1:$S$462</definedName>
    <definedName name="_xlnm._FilterDatabase" localSheetId="2" hidden="1">'24年事故（安全侧）'!$A$1:$N$277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sto</author>
  </authors>
  <commentList>
    <comment ref="R8" authorId="0">
      <text>
        <r>
          <rPr>
            <b/>
            <sz val="9"/>
            <rFont val="宋体"/>
            <charset val="0"/>
          </rPr>
          <t>sto:</t>
        </r>
        <r>
          <rPr>
            <sz val="9"/>
            <rFont val="宋体"/>
            <charset val="0"/>
          </rPr>
          <t xml:space="preserve">
oa去场外交通、疾病</t>
        </r>
      </text>
    </comment>
    <comment ref="R11" authorId="0">
      <text>
        <r>
          <rPr>
            <b/>
            <sz val="9"/>
            <rFont val="宋体"/>
            <charset val="0"/>
          </rPr>
          <t>sto:</t>
        </r>
        <r>
          <rPr>
            <sz val="9"/>
            <rFont val="宋体"/>
            <charset val="0"/>
          </rPr>
          <t xml:space="preserve">
1-11平均</t>
        </r>
      </text>
    </comment>
    <comment ref="O13" authorId="0">
      <text>
        <r>
          <rPr>
            <b/>
            <sz val="9"/>
            <rFont val="宋体"/>
            <charset val="0"/>
          </rPr>
          <t>sto:</t>
        </r>
        <r>
          <rPr>
            <sz val="9"/>
            <rFont val="宋体"/>
            <charset val="0"/>
          </rPr>
          <t xml:space="preserve">
昆仑人员分析用工管理在职人数
</t>
        </r>
      </text>
    </comment>
    <comment ref="R13" authorId="0">
      <text>
        <r>
          <rPr>
            <b/>
            <sz val="9"/>
            <rFont val="宋体"/>
            <charset val="0"/>
          </rPr>
          <t>sto:</t>
        </r>
        <r>
          <rPr>
            <sz val="9"/>
            <rFont val="宋体"/>
            <charset val="0"/>
          </rPr>
          <t xml:space="preserve">
昆仑人员分析用工管理在职人数  12/20
</t>
        </r>
      </text>
    </comment>
  </commentList>
</comments>
</file>

<file path=xl/sharedStrings.xml><?xml version="1.0" encoding="utf-8"?>
<sst xmlns="http://schemas.openxmlformats.org/spreadsheetml/2006/main" count="7384" uniqueCount="2167">
  <si>
    <t>尚桐数据</t>
  </si>
  <si>
    <t>指标类型</t>
  </si>
  <si>
    <t>年份</t>
  </si>
  <si>
    <t>累计</t>
  </si>
  <si>
    <t>1月</t>
  </si>
  <si>
    <t>2月</t>
  </si>
  <si>
    <t>3月</t>
  </si>
  <si>
    <t>4月</t>
  </si>
  <si>
    <t>5月</t>
  </si>
  <si>
    <t>6月</t>
  </si>
  <si>
    <t>7月</t>
  </si>
  <si>
    <t>8月</t>
  </si>
  <si>
    <t>9月</t>
  </si>
  <si>
    <t>10月</t>
  </si>
  <si>
    <t>11月</t>
  </si>
  <si>
    <t>12月</t>
  </si>
  <si>
    <t>安全事故量</t>
  </si>
  <si>
    <t>二十万工时事故率</t>
  </si>
  <si>
    <t>新数据</t>
  </si>
  <si>
    <t>应用标准：健康度唯独</t>
  </si>
  <si>
    <t>汇总</t>
  </si>
  <si>
    <t>事故量</t>
  </si>
  <si>
    <t>工时</t>
  </si>
  <si>
    <t>20万工时事故率</t>
  </si>
  <si>
    <t>数据截至12月20日  9月工时和12月工时为昆仑人员分析用工管理在职人数统计口径</t>
  </si>
  <si>
    <t>序号</t>
  </si>
  <si>
    <t>姓名</t>
  </si>
  <si>
    <t>所属单位</t>
  </si>
  <si>
    <t>省区</t>
  </si>
  <si>
    <t>大区</t>
  </si>
  <si>
    <t>出险日期</t>
  </si>
  <si>
    <t>月份</t>
  </si>
  <si>
    <t>出险情况说明</t>
  </si>
  <si>
    <t>受伤部位</t>
  </si>
  <si>
    <t>事故详细类型</t>
  </si>
  <si>
    <t>判定依据</t>
  </si>
  <si>
    <t>判责</t>
  </si>
  <si>
    <t>主责任方</t>
  </si>
  <si>
    <t>事故费用</t>
  </si>
  <si>
    <t>是否考核中心</t>
  </si>
  <si>
    <t>健康度评价</t>
  </si>
  <si>
    <t>备注</t>
  </si>
  <si>
    <t>sto上报</t>
  </si>
  <si>
    <t>OA上报</t>
  </si>
  <si>
    <t>李晓午</t>
  </si>
  <si>
    <t>福建泉州转运中心</t>
  </si>
  <si>
    <t>福建</t>
  </si>
  <si>
    <t>员工梳堵过程中，被破损货物（内品，镰刀）割伤。</t>
  </si>
  <si>
    <t>血管断裂，部分肌腱断裂</t>
  </si>
  <si>
    <t>割伤类</t>
  </si>
  <si>
    <t>责任</t>
  </si>
  <si>
    <t>个人</t>
  </si>
  <si>
    <t>是</t>
  </si>
  <si>
    <t>否</t>
  </si>
  <si>
    <t>胡欢</t>
  </si>
  <si>
    <t>贵州贵阳转运中心</t>
  </si>
  <si>
    <t>贵州</t>
  </si>
  <si>
    <t>白班员工胡欢(工号1190499）在自动化集包区域活动被滑槽的可活动的延伸装置夹到手</t>
  </si>
  <si>
    <t>手指损伤，指骨骨折</t>
  </si>
  <si>
    <t>机械类</t>
  </si>
  <si>
    <t>中心</t>
  </si>
  <si>
    <t>郑翠翠</t>
  </si>
  <si>
    <t>河北邯郸转运中心</t>
  </si>
  <si>
    <t>京津冀</t>
  </si>
  <si>
    <t>25年1月2日晚22:01:53秒，DWS称重扫描员，郑翠翠1061712，在通过卸货口处理错分件，途中失足踩空，跌落摔伤。</t>
  </si>
  <si>
    <t>昏迷，有脑出血现象</t>
  </si>
  <si>
    <t>摔伤类</t>
  </si>
  <si>
    <t>赵年香</t>
  </si>
  <si>
    <t>湖南长沙转运中心</t>
  </si>
  <si>
    <t>湖南</t>
  </si>
  <si>
    <t>2025年1月3日下午19：00左右，出港晚班班长赵年香（1023996，女，50岁）上班前往岗位途中在3F出港矩阵下方通道摔倒，立即送往长沙市中心医院检查</t>
  </si>
  <si>
    <t>左腕三角骨撕脱骨折</t>
  </si>
  <si>
    <t>余森</t>
  </si>
  <si>
    <t>湖北武昌转运中心</t>
  </si>
  <si>
    <t>湖北</t>
  </si>
  <si>
    <t>进港员工余森（工号1201343）拉回流件过程中右手不慎撞到矩阵线体立柱。</t>
  </si>
  <si>
    <t>右手掌裂伤，缝合2针，无骨拆</t>
  </si>
  <si>
    <t>撞伤类</t>
  </si>
  <si>
    <t>赵志雄</t>
  </si>
  <si>
    <t>四川南充转运中心</t>
  </si>
  <si>
    <t>川藏</t>
  </si>
  <si>
    <t>破损处理员-赵志雄（1284171）协助三方邦友达对运营中的摆臂紧急抢修过程中，被复位摆臂夹伤手。</t>
  </si>
  <si>
    <t>右手指骨有轻微断离</t>
  </si>
  <si>
    <t>三方</t>
  </si>
  <si>
    <t>杜兴旺</t>
  </si>
  <si>
    <t>河北保定转运中心</t>
  </si>
  <si>
    <t>出港6号线装车杜兴旺（男，工号1297958）4点2分在装合肥车时不慎从伸缩机前端跌落，随后继续工作至6点员工感觉疼痛后去医院。</t>
  </si>
  <si>
    <t>右侧第6肋骨骨折</t>
  </si>
  <si>
    <t>罗艳兰</t>
  </si>
  <si>
    <t>江西南昌转运中心</t>
  </si>
  <si>
    <t>江西</t>
  </si>
  <si>
    <t>进港白班员工罗艳兰，工号1221064，在女厕所踩空滑倒，导致脚部扭伤，已被班组长送至医院，医院CT做完后显示脚踝骨裂</t>
  </si>
  <si>
    <t>胫腓骨下端骨折</t>
  </si>
  <si>
    <t>吕军华</t>
  </si>
  <si>
    <t>山东济南转运中心</t>
  </si>
  <si>
    <t>山东</t>
  </si>
  <si>
    <t>吕军华（岗位，细分拉件员；）2025年1月9日4:20.在出港3号线打扫卫生时，摔倒手部摔伤</t>
  </si>
  <si>
    <t>右腕关节多发性骨折</t>
  </si>
  <si>
    <t>汤丽华</t>
  </si>
  <si>
    <t>湖南长沙转运中心2025年1月9日上午9:50左右，进港白班员工汤丽华（1026598，女，43岁），在10号DWS处拦截破损件时手指卷入皮带接缝处被夹伤，目前花费700元左右。</t>
  </si>
  <si>
    <t>手指夹伤</t>
  </si>
  <si>
    <t>贺静</t>
  </si>
  <si>
    <t>江苏徐州转运中心</t>
  </si>
  <si>
    <t>江苏</t>
  </si>
  <si>
    <t>夜班员工 贺静（1299892）在上班途中经过韵达快递门口发生车祸。</t>
  </si>
  <si>
    <t>开放性损伤伴异物，创伤性牙折断</t>
  </si>
  <si>
    <t>场外交通类</t>
  </si>
  <si>
    <t>无责</t>
  </si>
  <si>
    <t>-</t>
  </si>
  <si>
    <t>蔡丽苹</t>
  </si>
  <si>
    <t>四川成都转运中心</t>
  </si>
  <si>
    <t>2025年1月12日7点49分左右，侧滑集包班长蔡丽萍（工号1060594）在二楼自动化NC区域关停流水线后（未关停摆臂）通线被摆臂夹手，现人员已前往人民医院进行治疗，后续结果待跟进；</t>
  </si>
  <si>
    <t>左手中子指甲粗隆骨折，断端稍分离</t>
  </si>
  <si>
    <t>卢锋波</t>
  </si>
  <si>
    <t>河南漯河转运中心</t>
  </si>
  <si>
    <t>河南</t>
  </si>
  <si>
    <t>夜班进港员工 卢锋波(1005846)在进港疏通进港11号摆臂下方带时，手不慎伸进上方摆臂齿轮链条内部。</t>
  </si>
  <si>
    <t>左手无名指前关节部分夹掉 中指、食指前关节处不同程度骨折</t>
  </si>
  <si>
    <t>宁石桥</t>
  </si>
  <si>
    <t>湖南衡阳转运中心</t>
  </si>
  <si>
    <t>夜班机修工 宁石桥在上班时间，修完设备后，拿工具回机修房的时候，途径路上看到滚筒里面卡的东西，设备未停机的情况下拿手钳去清理尾滚卡的货物导致手和手钳一起夹进去。</t>
  </si>
  <si>
    <t>指甲那一截的肉组织被卡</t>
  </si>
  <si>
    <t>钟基波</t>
  </si>
  <si>
    <t>广东广州转运中心</t>
  </si>
  <si>
    <t>广东</t>
  </si>
  <si>
    <t>夜班卸车员钟基波（1185720）卸货途中被快件砸到</t>
  </si>
  <si>
    <t>右胸第9肋骨骨折，神经肌肉痛</t>
  </si>
  <si>
    <t>砸伤类</t>
  </si>
  <si>
    <t>周井华</t>
  </si>
  <si>
    <t>江苏淮安转运中心</t>
  </si>
  <si>
    <t>周井华（翻面单员，工号1008910，工龄9年）翻面单时货物掉落砸到脚面。当时员工没有感觉只是告诉组长和主管，还继续上班。下午脚面有点疼，18日休息一天(调休)。</t>
  </si>
  <si>
    <t>左脚大拇趾骨折</t>
  </si>
  <si>
    <t>喻志豪</t>
  </si>
  <si>
    <t>江苏南京转运中心</t>
  </si>
  <si>
    <t>2025年1月17日南京转运中心扫描员喻志豪（男，19岁，12月5日入职）扫描分拣件时，快件包装破损，内件（铁块状物体）掉落，砸伤该员工右脚。</t>
  </si>
  <si>
    <t>右足第5趾末节骨骨折</t>
  </si>
  <si>
    <t>侯波安</t>
  </si>
  <si>
    <t>】候波安（岗位，人工理袋员；）2025年1月18日7:20左右，在拆包平台抬电机过程中，脱手后电机砸到手指。</t>
  </si>
  <si>
    <t>食指开放性骨折</t>
  </si>
  <si>
    <t>江海胜</t>
  </si>
  <si>
    <t>广东揭阳转运中心</t>
  </si>
  <si>
    <t>1月 18 日下午15 点 50 分左右，进港白班前台员工江海胜在卸货口卸货过程中， 7 号线的伸缩机突然脱落压到员工江海胜的左脚拇指以及脚盘</t>
  </si>
  <si>
    <t>左足第一趾近节趾骨骨折</t>
  </si>
  <si>
    <t>陈冯喜</t>
  </si>
  <si>
    <t>陈冯喜和熊辉两人下班途中发生交通意外，随后到南方医院增城分院检查治疗</t>
  </si>
  <si>
    <t>多处损伤、脑震荡、右胫排骨干骨折</t>
  </si>
  <si>
    <t>陈礼</t>
  </si>
  <si>
    <t>在二楼出港O型交叉带区域看见流水线卡口袋伸手去拉导致手搅入皮带</t>
  </si>
  <si>
    <t>右手第3、4开放性掌骨骨折；右手皮肤软组织脱套伤；右手第3-5指伸指肌腱断裂伴缺损；右手第3、4指关节开放性损伤</t>
  </si>
  <si>
    <t>何琐</t>
  </si>
  <si>
    <t>江西吉安转运中心</t>
  </si>
  <si>
    <t>进港末端六线，打扫卫生时，不慎手被流水线夹伤</t>
  </si>
  <si>
    <t>手腕骨折</t>
  </si>
  <si>
    <t>赖卫君</t>
  </si>
  <si>
    <t>浙江杭州转运中心</t>
  </si>
  <si>
    <t>浙江</t>
  </si>
  <si>
    <t>赖卫君在三楼北面7号卸货口卸货，驾驶员私自把车开走，导致翻面单员工赖卫君掉下月台。</t>
  </si>
  <si>
    <t>头部损伤，桡骨骨折</t>
  </si>
  <si>
    <t>坠落类</t>
  </si>
  <si>
    <t>郑春雷</t>
  </si>
  <si>
    <t>江苏苏州转运中心</t>
  </si>
  <si>
    <t>郑春雷(1302604)在卸货区工作时手套不小心被传送带连到将手带入传送带导致3根手指头受伤；</t>
  </si>
  <si>
    <t>手部皮外伤，无骨折</t>
  </si>
  <si>
    <t>阳会</t>
  </si>
  <si>
    <t>阳会在北楼一楼苏州装货口扫描，有一票件未扫到，进车厢扫描后出车厢时掉到车厢与月台中间空隙，导致肋骨骨裂，右肝挫伤</t>
  </si>
  <si>
    <t>肋骨骨裂，右肝挫伤</t>
  </si>
  <si>
    <t>郭方贵</t>
  </si>
  <si>
    <t>湖北武汉转运中心</t>
  </si>
  <si>
    <t>人工拆包倒包-班长：郭方贵（ 工号1261021）该员工在疏堵时，将脚踝扭伤，昨晚员工觉得没什么事，今天早上打电话说脚肿了。</t>
  </si>
  <si>
    <t>脚踝和脚背肿胀</t>
  </si>
  <si>
    <t>劳动损伤类</t>
  </si>
  <si>
    <t>刘文学</t>
  </si>
  <si>
    <t>浙江金华转运中心</t>
  </si>
  <si>
    <t>机修刘文学巡线时，途径1号循环线末端，摔到流水线上，导致脚踝和脚背摔伤。</t>
  </si>
  <si>
    <t>第五跖骨骨折</t>
  </si>
  <si>
    <t>王领飞</t>
  </si>
  <si>
    <t>华东员工王领飞在装地区件短驳车时，脚踩到二个滚筒中间，导致臀部淤青，需静养十天左右。转运中心第一时间安排车辆将刘文学送往金华市人民医院拍片检查。目前伤者情况稳定，已在宿舍静养。</t>
  </si>
  <si>
    <t>臂部淤青</t>
  </si>
  <si>
    <t>蒋新国</t>
  </si>
  <si>
    <t>蒋新国（1276623，男，54岁，出港后台装车员），装车过程中司机未经发车指令和绕车检查确认安全即发车导致该员工从月台跌落。</t>
  </si>
  <si>
    <t>左侧肩胛骨骨折；左侧第3-7、9、10肋骨折</t>
  </si>
  <si>
    <t>彭银</t>
  </si>
  <si>
    <t>重庆转运中心</t>
  </si>
  <si>
    <t>重庆</t>
  </si>
  <si>
    <t>出港员工彭银 (1174219)踩踏包裹导致左脚扭伤，随后医院检查轻微骨折。</t>
  </si>
  <si>
    <t>左跟骨远端撕脱性骨折</t>
  </si>
  <si>
    <t>杨血丰</t>
  </si>
  <si>
    <t>机修杨血丰（工号：1220897）在维修伸缩机时，不慎从月台跌落，着地受伤</t>
  </si>
  <si>
    <t>左侧腓骨骨折，膝关节损伤</t>
  </si>
  <si>
    <t>付道琴</t>
  </si>
  <si>
    <t>进港鄂州组破损处理员工付道琴（工号1117660）在处理破损件时不小心刀片划到左手指。</t>
  </si>
  <si>
    <t>左手裂伤，缝合3针，肌腱裂伤缝合3针。无骨拆</t>
  </si>
  <si>
    <t>秦长定</t>
  </si>
  <si>
    <t>广东中山转运中心</t>
  </si>
  <si>
    <t>司机上完厕所回来后发现装货口两侧没有人，在没有发车指令牌确认的情况下，车辆突然启动驶离，导致秦长定从平台摔落</t>
  </si>
  <si>
    <t>腰骶4椎体骨折</t>
  </si>
  <si>
    <t>沈统超</t>
  </si>
  <si>
    <t>江苏江阴转运中心</t>
  </si>
  <si>
    <t>沈统超（1020320夜班无锡组，）从装车平台摔落</t>
  </si>
  <si>
    <t>胸部和右腕损伤，骨折</t>
  </si>
  <si>
    <t>陈育</t>
  </si>
  <si>
    <t>广东增城转运中心</t>
  </si>
  <si>
    <t>前台矩阵扫描员陈育（1128555）下班期间驾驶电动车返回宿舍，见路口红绿灯仅剩1秒，无法通过路口因此停车等待红绿灯，正班车（豫A2290N）司机抢红灯，剐蹭由员工陈育驾驶的电动车尾部</t>
  </si>
  <si>
    <t>左足第五跖骨、第二趾头中节趾骨骨折</t>
  </si>
  <si>
    <t>陆大卫</t>
  </si>
  <si>
    <t>航空试岗员工陆大卫，在装地区件短驳车时，在伸缩机前端装上端货时，从伸缩机摔至车厢</t>
  </si>
  <si>
    <t>肋骨骨折</t>
  </si>
  <si>
    <t>陈正辉</t>
  </si>
  <si>
    <t>陈正辉(1222274，出港前台卸车员），在出港33号口往三轮车装货，从月台下三轮车码货过程中跌落月台。</t>
  </si>
  <si>
    <t>左侧第11肋骨折</t>
  </si>
  <si>
    <t>任怡苹</t>
  </si>
  <si>
    <t>2025年02月15日晚22点时因个人身体不适的原因向班组长请假，骑二电动自行车行至迎宾大道时撞到停放在路边的大卡车上受伤。</t>
  </si>
  <si>
    <t>已经苏醒</t>
  </si>
  <si>
    <t>韩小涛</t>
  </si>
  <si>
    <t>韩小涛（412326198409102139），于2025/2/17早上6：03在卸货口卸货时，不慎在挂箱内扭伤，当时员工并未重视，于2/17日晚8点左右至江阴市第四人民医院急诊</t>
  </si>
  <si>
    <t>第5跖骨基底部骨折</t>
  </si>
  <si>
    <t>刘凤祥</t>
  </si>
  <si>
    <t>粗分驳货员刘凤祥（1010636）在新区回流背对直梯下直爬梯时,踩滑摔落。腰部撞击到护栏栏杆上。</t>
  </si>
  <si>
    <t>肋骨4处骨折</t>
  </si>
  <si>
    <t>朱春霞</t>
  </si>
  <si>
    <t>细分扫描员-朱春霞（ 工号1179730）该员工在通过月台时，摔下月台。</t>
  </si>
  <si>
    <t>右足第2、3跖骨骨折</t>
  </si>
  <si>
    <t>梁忠富</t>
  </si>
  <si>
    <t>异形件处理员梁忠富（工号：1096117）在装异形件时，不慎从月台跌落</t>
  </si>
  <si>
    <t>腰3-4左侧横突骨折</t>
  </si>
  <si>
    <t>于朋辉</t>
  </si>
  <si>
    <t>黑龙江佳木斯转运中心</t>
  </si>
  <si>
    <t>东北-黑</t>
  </si>
  <si>
    <t>员工在钢平台二楼下楼时未使用安全扶手导致跌落</t>
  </si>
  <si>
    <t>脚趾骨折</t>
  </si>
  <si>
    <t>廖长云</t>
  </si>
  <si>
    <t>浙江杭州临平转运中心</t>
  </si>
  <si>
    <t>员工廖长云为三楼装车人员，18号借调到二楼矩阵区，在拆袋子时用力过猛，手指戳到拉链崴伤，到医院检查结果为手指骨折，并伴随病理性问题（软骨瘤），员工已到三级医院复查，具体结果未出，先做报备处理</t>
  </si>
  <si>
    <t>手指骨折</t>
  </si>
  <si>
    <t>其他类</t>
  </si>
  <si>
    <t>吴彩娥 袁加成</t>
  </si>
  <si>
    <t>安徽合肥转运中心</t>
  </si>
  <si>
    <t>安徽</t>
  </si>
  <si>
    <t>2月21日入职的新员工袁加成（1192047）、吴彩娥（1107447）班次是晚上00：30-12：00，下班后回家途中出车祸。</t>
  </si>
  <si>
    <t>左踝外伤</t>
  </si>
  <si>
    <t>张乐雨</t>
  </si>
  <si>
    <t>张乐雨，（女，22岁，11月15日入职），2月23日6:30在6号卸货口6点30分在清理卡货回来，从DWS设备上下来的时候，脚踩到钢平台的线槽上，重心不稳，崴脚受伤，随后送至医院检查。</t>
  </si>
  <si>
    <t>右侧第五跖骨基底部骨折</t>
  </si>
  <si>
    <t>王厚柳</t>
  </si>
  <si>
    <t>王厚柳（工号1063921）在矩阵分拣过程中，因错过省内件急忙去抢抓。身体重心前倾掉入滑槽。</t>
  </si>
  <si>
    <t>左胸第七肋骨骨折</t>
  </si>
  <si>
    <t>陈昌武</t>
  </si>
  <si>
    <t>2月25日6：00收到现场班长反馈：有员工的脚被卷进滚筒，导致脚受伤。</t>
  </si>
  <si>
    <t>右侧股骨撕脱性骨折</t>
  </si>
  <si>
    <t>莫小凯</t>
  </si>
  <si>
    <t>装车员工莫小凯(工号:1295086) 装车过程中在车厢末端位置踩空掉落。</t>
  </si>
  <si>
    <t>左胫骨平台骨折</t>
  </si>
  <si>
    <t>刘佳豪</t>
  </si>
  <si>
    <t>进港一号线刘佳豪（男，工号1319450）在下跨梯时脚滑不慎摔倒。</t>
  </si>
  <si>
    <t>右侧桡骨远端骨折尺骨茎突骨折</t>
  </si>
  <si>
    <t>张青文</t>
  </si>
  <si>
    <t>浙江温州转运中心</t>
  </si>
  <si>
    <t>员工 张青文（工号1313377）上班途中与电瓶车相撞</t>
  </si>
  <si>
    <t>锁骨骨折、脚踝骨折</t>
  </si>
  <si>
    <t>邓国平</t>
  </si>
  <si>
    <t>2月26日北京装货员工邓国平装尾货时重心失稳从线体掉落</t>
  </si>
  <si>
    <t>右侧跟骨骨折</t>
  </si>
  <si>
    <t>吴宝民</t>
  </si>
  <si>
    <t>天津转运中心</t>
  </si>
  <si>
    <t>出港破损处理员吴宝民  1318264   在月台粘破损件时不慎脚踩空掉到月台下边，摔倒后并无大碍并回到岗位继续作业，直到下班才和组长说明，组长要求去医院检查，他说回家歇歇再看，后续员工自行到市医院检查医院初步判定无大碍静养就行</t>
  </si>
  <si>
    <t>右桡骨骨折</t>
  </si>
  <si>
    <t>姬曼</t>
  </si>
  <si>
    <t>员工姬曼2月28日中午11:30左右在车间岗位操作时右手被传送带夹伤，右手手腕及手背皮肉脱落，经医院初步诊断为开放性手部损伤</t>
  </si>
  <si>
    <t>开放性手部损伤</t>
  </si>
  <si>
    <t>谭必现</t>
  </si>
  <si>
    <t>谭必现拉错件时一块铁掉下来砸到脚面，脚背缝了两针，右脚大脚趾骨头断了，需要住院做手术</t>
  </si>
  <si>
    <t>右脚大脚趾骨头断</t>
  </si>
  <si>
    <t>郑敏</t>
  </si>
  <si>
    <t>陕西西安转运中心</t>
  </si>
  <si>
    <t>西北</t>
  </si>
  <si>
    <t>郑敏（工号 1219509），上班期间在 B 库 DWS 处拦截破损件时左手夹进皮带，现场管理送往延安大学医院检查治疗</t>
  </si>
  <si>
    <t>腕部开放性损伤</t>
  </si>
  <si>
    <t>晋萍</t>
  </si>
  <si>
    <t>员工在进港装车口扫描作业时不慎手被卷入流水线，后送往晋江市中西医结合医院就诊，医生诊断为手掌肿胀淤血无骨折。</t>
  </si>
  <si>
    <t>手掌肿胀淤血无骨折</t>
  </si>
  <si>
    <t>张我林</t>
  </si>
  <si>
    <t>3月4日凌晨04：30左右装车工张我林（工号:1316803）在装车时脚下踩空从伸缩机上摔倒</t>
  </si>
  <si>
    <t>腰2、腰3左侧横突骨折，左侧第2肋骨骨折</t>
  </si>
  <si>
    <t>董振国</t>
  </si>
  <si>
    <t>浙江台州转运中心</t>
  </si>
  <si>
    <t>2025年03月05日05点05分左右，员工董振国（工号1315886）在9号线徐州卡位装车时未站稳从输送带上摔下，当时董振国说没事正常上到7点下班，董振国于2025年3月5日18点30左右过来找安全员金林龙说手腕疼痛</t>
  </si>
  <si>
    <t>疑似左腕腕骨骨折</t>
  </si>
  <si>
    <t>韩田平</t>
  </si>
  <si>
    <t>甘肃兰州转运中心</t>
  </si>
  <si>
    <t>员工姓名：韩田平，工号：1317067，性别：男，年龄：28岁，在进港拆包平台使用拆包刀具拆包时划伤左手大拇指尖右侧动脉血管。</t>
  </si>
  <si>
    <t>划伤左手大拇指尖右侧动脉血管</t>
  </si>
  <si>
    <t>陈炎山</t>
  </si>
  <si>
    <t>福建闽南转运中心</t>
  </si>
  <si>
    <t>2025年3月6日凌晨00:32，晚班装车员陈炎山（工号1315995）与张孟军（工号1290612）在广州卡位装车时，两人同站伸缩机前端往顶部装包件。由于站板空间狭小且包件过多，陈炎山挪包过程中从伸缩机前端摔落至车厢。事后送往福建省漳州市医院芗城院区</t>
  </si>
  <si>
    <t>第2尾椎骨折</t>
  </si>
  <si>
    <t>刘彪</t>
  </si>
  <si>
    <t>进港 B班拆包员刘彪（1281163）。在拆包期间被刀片割伤到左手。</t>
  </si>
  <si>
    <t>左手割伤</t>
  </si>
  <si>
    <t>万建华</t>
  </si>
  <si>
    <t>2025.3.13日21：34左右，在唯品会出港贵阳装车区位置，在装车作业时，快件掉落在万建华在脚部导致受伤</t>
  </si>
  <si>
    <t>左足第5趾骨近节远段骨折</t>
  </si>
  <si>
    <t>王春雄</t>
  </si>
  <si>
    <t>广东深圳转运中心</t>
  </si>
  <si>
    <t>六号线员工细分拉扫员：王春雄（中班）在主线体拉头位置翻面单，在工作途中，不慎被一个圆柱体铁器快件滚落，砸到大脚指。后续于9:27左右，紧急送往医院拍片检查</t>
  </si>
  <si>
    <t>右足踇趾近，远节趾骨可见不规则骨折线及小碎骨片，构成关节未见脱位</t>
  </si>
  <si>
    <t>齐昭昭</t>
  </si>
  <si>
    <t>出港现场协管齐昭昭工号1188338，违规跨越线体处理破损，导致双脚夹进线体接缝处。</t>
  </si>
  <si>
    <t>1、左侧内踝、外踝及腔骨远端外侧多发骨折；2、右外踝骨折。</t>
  </si>
  <si>
    <t>汪东红</t>
  </si>
  <si>
    <t>进港员工汪东红（工号1318318）在矩阵高台分拣过程中，因未站稳右脚崴了一下。该员工向操作主管汇报，看其脚崴处无肿，后安在现场休息。中午下班后发现崴脚处肿大、疼痛，遂去医院拍片检查于14:10分得到诊断报告</t>
  </si>
  <si>
    <t>右骨第5跖骨基底部骨折</t>
  </si>
  <si>
    <t>周国强</t>
  </si>
  <si>
    <t>2025年3月17日16:21进港二号线周国强在出港广州方向车内装车时由于身体侧立于伸缩机前端，不注意被伸缩机前端夹到右脚。</t>
  </si>
  <si>
    <t>1.右足第2跖骨骨折。2.右足背部局部软组织挫伤。</t>
  </si>
  <si>
    <t>鲍东洋</t>
  </si>
  <si>
    <t>辽宁大连转运中心</t>
  </si>
  <si>
    <t>东北-辽</t>
  </si>
  <si>
    <t>员工鲍东洋1325714在卸货时，车厢上方货倒塌导致员工后颈椎砸伤，当时处于昏迷状态，当班长立即拨打120急救电话</t>
  </si>
  <si>
    <t>已出院</t>
  </si>
  <si>
    <t>胡红进</t>
  </si>
  <si>
    <t>员工胡红进（工号1318424）在济南装货过程中坐在运行的伸缩机前端省力,导致臀部被夹</t>
  </si>
  <si>
    <t>伤口有流血</t>
  </si>
  <si>
    <t>陈志伟</t>
  </si>
  <si>
    <t>2025年3月21日02:13:21深圳出港宝安场地后台装车六区细分扫描员陈志伟在工作途中去上厕所走到车头处突然晕倒（员工自述有低血糖，才导致突然晕倒）</t>
  </si>
  <si>
    <t>1、脑震荡2、头面、肢体多处挫擦伤</t>
  </si>
  <si>
    <t>疾病类</t>
  </si>
  <si>
    <t>苏子印</t>
  </si>
  <si>
    <t>苏子印-前台装车员，在给伸缩机皮带划线（规范快件码放位置）过程中，从搭建平台上踩空掉落。</t>
  </si>
  <si>
    <t>左胳膊肘骨折</t>
  </si>
  <si>
    <t>梁佶</t>
  </si>
  <si>
    <t>3月21日凌晨04:04分进港卸车员工梁佶在卸车时被快件砸伤。当时员工未进行上报，21日上班后对班长上报说受伤情况，已带员工医院检查。</t>
  </si>
  <si>
    <t>半月板损伤，左髌韧带损伤</t>
  </si>
  <si>
    <t>孙献武</t>
  </si>
  <si>
    <t>山东青岛转运中心</t>
  </si>
  <si>
    <t>青岛转运中心进港卸车员工孙献武，工号1328279，3月22号10点4分左右在13号卸货口准备卸车，济南-青岛流向，承运商：安丘市华欣物流有限公司，由于司机移动车辆、员工自行上车造成员工摔伤左足跟骨骨折。事情发生后进行了报警处理，车辆方面和员工协商良好，中心不承担费用，但是到4月1号再去医院协商时，员工改变态度要20万，供应商不接受认为员工勒索也要报警，特此</t>
  </si>
  <si>
    <t>左足跟骨骨折</t>
  </si>
  <si>
    <t>车队</t>
  </si>
  <si>
    <t>王荣兴</t>
  </si>
  <si>
    <t>装车人员王荣兴在装一个大件时，重心不稳，右脚踩到伸缩机滚筒被卷到伸缩机</t>
  </si>
  <si>
    <t>右足第一跖骨骨折、右足内侧楔骨骨折</t>
  </si>
  <si>
    <t>张再敏</t>
  </si>
  <si>
    <t>张再敏上班时爬上供件台拨货，下来时踩空摔到，现已带医院检查</t>
  </si>
  <si>
    <t>腰椎L3骨折</t>
  </si>
  <si>
    <t>羊坤</t>
  </si>
  <si>
    <t>羊坤2:14在6号卸货口卸货，被铁块两个包砸到脚趾。</t>
  </si>
  <si>
    <t>左侧第一远节趾骨折</t>
  </si>
  <si>
    <t>唐天晴</t>
  </si>
  <si>
    <t>唐天晴00:05在侧滑机，翻越线体（利旧、静止），被护板绊倒。</t>
  </si>
  <si>
    <t>左内踝及后踝骨折，内踝伴撕脱骨折，左踝关节周围软组织肿胀</t>
  </si>
  <si>
    <t>袁帅</t>
  </si>
  <si>
    <t>2025年3月26日12点50分左右，重庆转运中心进港装车员工袁帅（身份证号码 ：500243200207063291X）扫进港卸货口大件异形件时，因使用扫把打扫伸缩机底部时，手臂被卷入伸缩机</t>
  </si>
  <si>
    <t>右侧骨远端及尺骨茎突骨折，左侧尺骨茎突及右烧骨小头骨折</t>
  </si>
  <si>
    <t>申惊涛</t>
  </si>
  <si>
    <t>申惊涛（人工拆包倒包员，工号1281319）18 :44:55，违规跳下滑槽，与人工粗分人员说话聊天。18:45:10又违规上爬滑槽途中摔伤。</t>
  </si>
  <si>
    <t>符险坤</t>
  </si>
  <si>
    <t>黑龙江哈尔滨转运中心</t>
  </si>
  <si>
    <t>后台装车员：符险坤（ 1330722工号）现场反馈：在装车摆货过程中，包从手中滑落，砸到右腿，跟现场班长反馈，现场班长组织人员送往医院，到达医院拍片诊断骨折。</t>
  </si>
  <si>
    <t>右胫骨外侧髁骨折</t>
  </si>
  <si>
    <t>周桥良</t>
  </si>
  <si>
    <t>进港细分拉扫员周桥良（工号1307266），因刮北风，擅自爬到网点车辆车箱顶上去拉卷帘门挡风，司机不知车箱顶上有人的情况下启动车辆，至使其掉下月台。</t>
  </si>
  <si>
    <t>右大腿骨折，无生命危险</t>
  </si>
  <si>
    <t>李月朋</t>
  </si>
  <si>
    <t>进港白班员工李月朋，在装货口位置，因件量堆积，皮带堵了，想操作伸缩机将皮带往前放，但是关的不及时，货物将员工挤下月台，导致员工摔伤</t>
  </si>
  <si>
    <t>手腕和腰部疼痛，无明显外伤</t>
  </si>
  <si>
    <t>朱贺</t>
  </si>
  <si>
    <t>2025年3月31日晚22点时12分左右。员工朱贺在江阴转运中心华士场地装上海线路货物，抱一重包货物时扭伤右手腕，当时只觉疼痛，下班后至医院拍片检查，检查结果显示右尺骨茎突骨折，医生建议住院治疗</t>
  </si>
  <si>
    <t>右尺骨茎突骨折</t>
  </si>
  <si>
    <t>董怀芝</t>
  </si>
  <si>
    <t>山东济宁转运中心</t>
  </si>
  <si>
    <t>董怀芝-自动化供件员，在供件台下楼梯时，背靠楼梯下行，从楼梯摔倒下来。</t>
  </si>
  <si>
    <t>左足踝部外伤</t>
  </si>
  <si>
    <t>王自文</t>
  </si>
  <si>
    <t>上海转运中心</t>
  </si>
  <si>
    <t>上海</t>
  </si>
  <si>
    <t>上海转运中心员工王自文在4月1日早上进港30号卸货码头卸贷，在卸货中右手掌被快件砸中，当时感觉无大碍，下班后去医院检查</t>
  </si>
  <si>
    <t>第2掌骨近段骨折</t>
  </si>
  <si>
    <t>管绘云</t>
  </si>
  <si>
    <t>员工管绘云工号1306965拦截破损时，不小心踩空</t>
  </si>
  <si>
    <t>大腿根部受伤</t>
  </si>
  <si>
    <t>李成洋</t>
  </si>
  <si>
    <t>浙江金华义乌转运中心</t>
  </si>
  <si>
    <t>2025年4月4日 20：58分航空部员工李成洋，在拉货的时候滑了，手上的巴枪把大门牙嗑断一半。</t>
  </si>
  <si>
    <t>大门牙嗑断一半</t>
  </si>
  <si>
    <t>刘年才</t>
  </si>
  <si>
    <t>2025年4月7日01:23:20深圳出港宝安场地后台装车3区后台装车员刘年才在车厢工作中因不慎踩空从伸缩机上掉落</t>
  </si>
  <si>
    <t>1、腰1-4右侧横突骨折；2腰椎间盘突出症</t>
  </si>
  <si>
    <t>占检泉</t>
  </si>
  <si>
    <t>江西上饶转运中心</t>
  </si>
  <si>
    <t>占检泉（1323067）4月15日5：46分，该员工坐在铅山网点卡位伸缩机上进行分拣作业，将脚放置在伸缩机检修口处，与此同时，铅山网点装车人员将伸缩机进行回缩，导致员工占检泉（1323067）脚趾被伸缩机检修口处链条卷入，当时立即发现，装车人员停止伸缩机回缩，协助占检泉（1323067）将脚从伸缩机内抽出。当班主管即可进行上报，并将伤员送往医院。</t>
  </si>
  <si>
    <t>骨折</t>
  </si>
  <si>
    <t>汪江</t>
  </si>
  <si>
    <t>2025.4.15日22点40分左右，出港晚班细分拉扫员汪江，临时顶岗装车，车子有斜坡脚踩滑了手被皮带机夹了，导致受伤，第一时间送医院就医检查。</t>
  </si>
  <si>
    <t>手部皮肤受伤、擦伤</t>
  </si>
  <si>
    <t>刘志才</t>
  </si>
  <si>
    <t>员工刘志才下楼梯上厕所扭伤脚踝</t>
  </si>
  <si>
    <t>右脚内踝骨折</t>
  </si>
  <si>
    <t>刘建平</t>
  </si>
  <si>
    <t>2025年4月20日晚01点时48分左右时，员工刘建平在大货卸车区车厢内抱卸重货时，由于自己抱着货物无法看到脚下情况，失足摔落至地面</t>
  </si>
  <si>
    <t>肋骨6/7/8/9处骨折</t>
  </si>
  <si>
    <t>向云杨</t>
  </si>
  <si>
    <t>向云杨，工号：（1319920)2025年4月19日凌晨0:57分，装车员工向云杨装完货后发生摔落平台事故。</t>
  </si>
  <si>
    <t>后腰2椎体压缩性骨折</t>
  </si>
  <si>
    <t>巩建平</t>
  </si>
  <si>
    <t>出港矩阵员工 ：巩建平 工号:1310882，上厕所回工位下直梯违规背向下直梯脚下打滑摔倒</t>
  </si>
  <si>
    <t>第5、6根肋骨骨折</t>
  </si>
  <si>
    <t>吴聪青</t>
  </si>
  <si>
    <t>2025年4月21日凌晨3点35分左右，进港夜班人工拆包倒包员：吴聪青（1241622），于进港卸货口1号进行卸货作业。期间，前台卸车员夏松（1314795）因觉得闷热，在未提前通知吴聪青的情况下，私自打开中箱门门栓。此举直接导致吴聪青在后续卸货作业时失去重心，不幸发生跌落事故。</t>
  </si>
  <si>
    <t>脊柱疼痛无法起身，后脑勺疼痛明显</t>
  </si>
  <si>
    <t>李有福财</t>
  </si>
  <si>
    <t>员工姓名：李有福财，工号：1326454，性别：男，在进港2号卸车口卸车时，铁件装在车辆上部，快件掉落砸伤右脚脚面。</t>
  </si>
  <si>
    <t>右脚第四节趾骨骨折</t>
  </si>
  <si>
    <t>黄秀春</t>
  </si>
  <si>
    <t>2025年4月23日00点49分左右，重庆转运中心进港员工黄秀春（身份证号：50010119861015918X）在重庆市巴南区界石镇端华路135号申通重庆智慧物流产业园进港场地操作大件破损处理时，因货物较重封条断了，导致刀片划伤嘴唇</t>
  </si>
  <si>
    <t>一条3㎝长，深度1.5㎝皮肤裂口</t>
  </si>
  <si>
    <t>钟艳玲</t>
  </si>
  <si>
    <t>广西南宁转运中心</t>
  </si>
  <si>
    <t>广西</t>
  </si>
  <si>
    <t>进港异性件处理员、钟艳玲（1212263）在进港15号卸货口卸异形件时意外踩空磕碰到下体</t>
  </si>
  <si>
    <t>下体裂伤导致出血</t>
  </si>
  <si>
    <t>宋细林</t>
  </si>
  <si>
    <t>武昌主线组员工宋细林（工号1223662）25.4.24日06：20骑摩托车上班途中在发展大道和葛洪大道交汇处十字路口由南向北正常行驶被闯红灯的环卫车撞倒</t>
  </si>
  <si>
    <t>左大腿骨折</t>
  </si>
  <si>
    <t>毛会荣</t>
  </si>
  <si>
    <t>2025年4月27日03:19左右，自动化供件员毛会荣（1267032）在出港O型区域行走人形楼梯下楼，在过最后一阶梯时越级跨梯步，落地时重心不稳，导致前冲刺摔伤。</t>
  </si>
  <si>
    <t>左侧第6肋骨液锻骨折，段端稍错位等症状</t>
  </si>
  <si>
    <t>王成元</t>
  </si>
  <si>
    <t>2025年4月29日22：30左右，粗分驳货员王成元（工号：1293285）在卸货口19号D线格口分拣货物时由于包比较重，脚下踩空，左侧身体撞到滑槽</t>
  </si>
  <si>
    <t>侧第9肋骨前段骨皮质不连续，多系不全性骨折</t>
  </si>
  <si>
    <t>晏力</t>
  </si>
  <si>
    <t>进港中班前台卸车员晏力，工号1312670，25年5月1号03:35分，在卸平板车时，由于包件倒下来砸到晏力，导致从平板车上摔下来。</t>
  </si>
  <si>
    <t>腰1-4左侧横突骨折</t>
  </si>
  <si>
    <t>林炳武</t>
  </si>
  <si>
    <t>进港晚班后台细分扫描员林炳武，25年5月1号02:23分在中山一线扫描过程中线体上货量大，有一票快件挤压到线体边缘掉下来砸到左脚大拇指，后经核实该票内件是金属磨具，重量17.18千克</t>
  </si>
  <si>
    <t>左足踇趾远节粉碎性骨折</t>
  </si>
  <si>
    <t>张洪光</t>
  </si>
  <si>
    <t>北京转运中心</t>
  </si>
  <si>
    <t>5月1号凌晨 2:51分宁波（车牌号 浙6A9760）靠好位时，司机未放止退器 因41号机台坏了，需要换口，调度给司机说需要换口，然后司机直接把车开走，未看后面有没有人（当时张洪光已经卸上车） 导致卸车员张洪光从月台上摔下来。</t>
  </si>
  <si>
    <t>右腿粉碎性骨折，左腿骨折</t>
  </si>
  <si>
    <t>黄东锋</t>
  </si>
  <si>
    <t>2025年5月4日09点30分左右，西安转运中心进港A班平台员工黄东锋，工号:1336503，在进港卸车口5号机卸武汉到西安一班车时，因未按卸车标准卸车，违规从中间抽取快件包裹，导致高出货物掉落砸伤右手无名指</t>
  </si>
  <si>
    <t>无名指骨折</t>
  </si>
  <si>
    <t>刘海发</t>
  </si>
  <si>
    <t>出港港夜班员工刘海发在车厢内拉一包件时右手被夹到，伸缩机前端接缝处！                         </t>
  </si>
  <si>
    <t>右中指骨折，环指手指开放性损伤</t>
  </si>
  <si>
    <t>周志辉</t>
  </si>
  <si>
    <t>2025年5月6日5：25分，员工周志辉在下班回家途中，路过廊坊市固安县宫村镇时，由于一机动车变道，员工骑行电动车与之侧后方相撞，现已送至北京市大兴区人民医院，初步诊断脑外伤综合征，左多发肋骨骨折，左桡骨远端骨折</t>
  </si>
  <si>
    <t>脑外伤综合征，左多发肋骨骨折，左桡骨远端骨折</t>
  </si>
  <si>
    <t>李劲松</t>
  </si>
  <si>
    <t>进港后台装车员：李劲松（ 工号1191200）该员工在上月台台阶时打滑摔落。</t>
  </si>
  <si>
    <t>腰有点痛</t>
  </si>
  <si>
    <t>梁天树</t>
  </si>
  <si>
    <t>2025.5.11早10：38，前台卸车员梁天树1170155在三台线下坡处脚滑摔倒，当时自感无事，未报告班组长，5月12日才告知班组长，12号员工在龙门中心医院做了DR检查，DR检查结果无明显异常情况，医生建议休息一周，5月20日前均在家休息，5月20日班组长通知其来上班，员工跟班长说还是有点痛，在5月20日去南充市高坪区民医院进行复查，CT报告显示右边第四肋骨骨折</t>
  </si>
  <si>
    <t>第四肋骨骨折</t>
  </si>
  <si>
    <t>吴述彬</t>
  </si>
  <si>
    <t>2025年05月13日  18:50左右，员工参加完新员工培训返程时，出公司门口骑摩托车被土方车撞倒</t>
  </si>
  <si>
    <t>左侧肘挫伤、骶尾部挫伤、右侧膝关节挫伤、腰部损伤无明显骨折</t>
  </si>
  <si>
    <t>王国军</t>
  </si>
  <si>
    <t>云南昆明转运中心</t>
  </si>
  <si>
    <t>云南</t>
  </si>
  <si>
    <t>卸车员王国军卸车过程中，货物掉落下来砸到脚。</t>
  </si>
  <si>
    <t>脚趾头骨折</t>
  </si>
  <si>
    <t>熊行军</t>
  </si>
  <si>
    <t>中</t>
  </si>
  <si>
    <t>2025年 5月14日02 时 36 分员工熊行军进行卸货时，右脚踩在高处货物上，左脚与光滑的车厢地面产生摩擦，冲击力导致扭伤到左脚；经医院检查当事人左脚第五跖骨底部骨折</t>
  </si>
  <si>
    <t>左脚</t>
  </si>
  <si>
    <t>王祥伟</t>
  </si>
  <si>
    <t>出港夜班自动化集包 5 班王祥伟伤（ 工号1337148）在拉包的时候，手被流水线夹伤，后由班长带员工去医院进行检查治疗。</t>
  </si>
  <si>
    <t>无骨折，表皮破皮</t>
  </si>
  <si>
    <t>刘娜娜</t>
  </si>
  <si>
    <t>安徽芜湖转运中心</t>
  </si>
  <si>
    <t>员工自述下楼梯时刚好汗水流到眼睛里了，想擦汗所以动作变形。导致下楼梯打了趔趄。扭伤脚。</t>
  </si>
  <si>
    <t>左脚根骨骨折</t>
  </si>
  <si>
    <t>刘珈邑</t>
  </si>
  <si>
    <t>山东烟台转运中心</t>
  </si>
  <si>
    <t>刘珈邑（工号：1334715），班次为半夜班18：30-24：30；2025年5月17日18：00左右上班途中骑行电动车与大货车相撞</t>
  </si>
  <si>
    <t>肋骨骨折以及半月板受损</t>
  </si>
  <si>
    <t>周海鹏</t>
  </si>
  <si>
    <t>周海鹏 （工号：1330383）  凌晨2：01分卸货过程中肩膀扭伤。</t>
  </si>
  <si>
    <t>右侧第一前肋骨骨折</t>
  </si>
  <si>
    <t>黄佐革</t>
  </si>
  <si>
    <t>自动化集包员黄佐革（工号1100372）25.5.18日5：11分在进港二楼交叉机集包区6号线185号格口换包时滑倒，左手撑地手腕受伤。</t>
  </si>
  <si>
    <t>左手桡骨远端骨折</t>
  </si>
  <si>
    <t>李星星</t>
  </si>
  <si>
    <t>员工李星星在流水线交接处分拣货物，被夹伤（疑似手套被带入皮带前段）</t>
  </si>
  <si>
    <t>右手中指指骨骨折并伴有软组织损伤</t>
  </si>
  <si>
    <t>陈金峰</t>
  </si>
  <si>
    <t>安徽阜阳转运中心</t>
  </si>
  <si>
    <t>25.5.21日16：11分粗分驳货员-陈金峰（1141590）下直梯时，站踏板上与人聊天。期间双手脱离扶手、从楼梯滑下磕到设备。</t>
  </si>
  <si>
    <t>左侧第6前肋骨骨折</t>
  </si>
  <si>
    <t>卯旺</t>
  </si>
  <si>
    <t>龙海路场地主循环线卡件，卯旺(细分拉扫员 工号 1327813)未关停皮带机疏通快件导致左手指夹伤，现已送往医院进一步检查。</t>
  </si>
  <si>
    <t>左手无名指开放性创口</t>
  </si>
  <si>
    <t>李小平</t>
  </si>
  <si>
    <t>夜班李小平在上班时间，卸揭阳平板车时候，重心不稳摔倒。</t>
  </si>
  <si>
    <t>腰压缩性骨折</t>
  </si>
  <si>
    <t>李绪中</t>
  </si>
  <si>
    <t>2025年5月28日10：15分左右，前台卸车员李绪中（1254586）在卸车作业时，高空掉包砸伤鼻梁</t>
  </si>
  <si>
    <t>鼻梁骨折</t>
  </si>
  <si>
    <t>谢余阳</t>
  </si>
  <si>
    <t>2025.5.28日谢余阳23：10左右下班后，在公司门口红路灯处吃面，吃完面后骑车回家，5月29日00：05分左右由简阳石桥街道石桥大道方向沿成龙简快速路行往成都方向，行至成龙简快速简阳段（简阳至成都）0km+500m辅道路段：发生交通事故，事故发生后在简阳市人民医院就医，经过医院诊断右侧髋臼骨折；右髋关节后脱位。该起交通事故当事人谢余阳骨折同等责任。</t>
  </si>
  <si>
    <t>右侧髋臼骨折；右髋关节后脱位</t>
  </si>
  <si>
    <t>余长波</t>
  </si>
  <si>
    <t>5月29日20:00分左右出港细分拉扫员工余长波（工号：1338907)在接缝区被夹伤，目前员工已送医检查。</t>
  </si>
  <si>
    <t>食指、中指夹伤</t>
  </si>
  <si>
    <t>艾海麦提·麦麦提</t>
  </si>
  <si>
    <t>新疆乌鲁木齐转运中心</t>
  </si>
  <si>
    <t>艾海麦提·麦麦提在00:38分借调出港北京方向快件装车过程中从伸缩机掉落</t>
  </si>
  <si>
    <t>右侧第11、12后肋骨骨折；L1右侧横突骨折， 产生肺部受伤</t>
  </si>
  <si>
    <t>潘洪磊</t>
  </si>
  <si>
    <t>潘洪磊-工号-1340395-粗分驳货员，在矩阵利用长杆疏堵过程中，长杆碰到眼睛，导致镜片破碎，镜片扎进眼球受伤。</t>
  </si>
  <si>
    <t>眼睛扎伤</t>
  </si>
  <si>
    <t>杨自兵</t>
  </si>
  <si>
    <t>2025年5.31日， 进港夜班装车员工杨自兵（1260104）在回家途中因与机动车发生交通事故，造成杨自兵受伤昏迷，第一时间送往简阳市中医医院进行治疗，交通部门判机动车驾驶员负主要责任</t>
  </si>
  <si>
    <t>右颚骨骨折、双侧顶叶脑挫裂伤、右目挫伤</t>
  </si>
  <si>
    <t>郑春香</t>
  </si>
  <si>
    <t>航空拉件员工郑春香，因调整拉件脚踏板，没有用手，用脚踢踏板，导致重心不稳，摔倒，手腕有痛感，经检查手腕骨折，需打石膏静养</t>
  </si>
  <si>
    <t>手腕</t>
  </si>
  <si>
    <t>陈兴</t>
  </si>
  <si>
    <t>江苏泰州转运中心</t>
  </si>
  <si>
    <t>年6月2日晚上22:25分，泰州转运中心员工陈兴（男19岁，工龄1个月），在金华装概货口位置进行装货作业时，右脚踩入皮带机与滚筒夹缝处。导致右足底远端8cm挫伤</t>
  </si>
  <si>
    <t>右脚</t>
  </si>
  <si>
    <t>刘宇杰</t>
  </si>
  <si>
    <t>川藏成都转运中心</t>
  </si>
  <si>
    <t>进港员工刘宇杰（1278216）在卸货口8号卸车时，货物倒塌，砸员
工身上，员工身体撞伸缩机上，现已送简阳市人民医院就诊，右侧部分肋骨骨折</t>
  </si>
  <si>
    <t>右侧肋骨</t>
  </si>
  <si>
    <t>郑双全</t>
  </si>
  <si>
    <t>2025.6.4晚上18:05左右郑双全（1310472）在上班途中与机动车辆发生交通事故（太平桥路段），事故发生后第一时间拨打120送往简阳市第二人民医院进行抢救并住院治疗，经医院诊断为1、左侧锁骨骨折，折端错位、重叠；2、左侧肩胛骨粉粹性骨折；左肱骨头囊变；3、双肺少许纤维灶，双肺下叶坠积性效应；4、双肺少许小结节；5、左侧第三内骨可疑骨折；交通认定书目前未出。</t>
  </si>
  <si>
    <t>左侧骨头</t>
  </si>
  <si>
    <t>和全龙</t>
  </si>
  <si>
    <t>南</t>
  </si>
  <si>
    <t>6月5日凌晨23点41分，后台装车员和全龙（工号1310620）在装载最后一排包裹时因班车司机突然动车，导致和全龙摔落。造成此次工伤事故。</t>
  </si>
  <si>
    <t>无伤</t>
  </si>
  <si>
    <t>向绵鹏</t>
  </si>
  <si>
    <t>向绵鹏骑三轮车正常行驶过程中在衡阳卡位拐角处，被对方暮云网点何昌政驾驶小货车擅自驶入非机动车道碰撞到，发生交通事故。</t>
  </si>
  <si>
    <t>面部、右膝关节</t>
  </si>
  <si>
    <t>刁祖连</t>
  </si>
  <si>
    <t>2025年6月4日出港员工刁祖连 （1340993）在上班22点21分左右在现场拉包时，手被带进接缝处，员工第一时间将手抽出，后公司将受伤人员立即送往简阳市中医院进行治疗，经医院诊断为左侧大多角骨骨皮质稍毛糙，左手手背软组织肿胀，第一掌骨背侧团片状血肿。</t>
  </si>
  <si>
    <t>左手</t>
  </si>
  <si>
    <t>张金堂</t>
  </si>
  <si>
    <t>北</t>
  </si>
  <si>
    <t>6月7号班22点45分左右.扫描员张金堂右手拿把枪扫描拉包，右手没注意伸进连接处皮带内，右手夹伤第一反应把右手抽出来，造事成右手食指和无名指受伤。当时流了好多血，紧接着班长过来，报故告主管带着受伤员工，来胶州中心医院，到达医院时间大概11点零概几分，第一时间到达急诊医生先处理了员工伤口，然后去拍了个片述看完结果，医生联系了骨科主治医生，又让做了个平面cT结果显示两个手指头骨折，需要进行手术打刚针大约治疗费用15000左右</t>
  </si>
  <si>
    <t>右手指</t>
  </si>
  <si>
    <t>任军军</t>
  </si>
  <si>
    <t>2025年6月8日12：15分左右，员工任军军（工号1242909）在卸临沂-武昌高栏车过程中（有戴安全帽）被一包件砸中头部，导致人头晕和手臂麻木。因当天检查无大碍，该员工反应手臂麻木，医生建议3天后需要预约做核磁共振检查，所以先行报备处理。</t>
  </si>
  <si>
    <t>头部及手臂</t>
  </si>
  <si>
    <t>崔连红</t>
  </si>
  <si>
    <t>2025年6月7日17点左右，员工崔连红在骑车上班的路上，经过凤栖路与陶辛路路口时与一辆小轿车相撞，发生交通事故，交通事故责任认定书认定员工崔连红负次要责任。</t>
  </si>
  <si>
    <t>右胫骨上段骨折</t>
  </si>
  <si>
    <t>吴文豪</t>
  </si>
  <si>
    <t>2025年6月9日  05:21分，吴文豪（ 1337068）在四川简阳成都转运中心进港20卸货口矩阵处，踩空滑到滑槽下面，第一时间送往简阳市中医医院进行治疗，医院诊断为右距骨撕脱骨折。</t>
  </si>
  <si>
    <t>右距骨撕脱骨折</t>
  </si>
  <si>
    <t>鲁有光</t>
  </si>
  <si>
    <t>2025年6月12日05时28分56秒深圳出港宝安场地后台6区细分扫描员鲁有光上厕所返回岗位，因场地空间布局有限，鲁有光所在操作卡位两侧无安装扶梯可以上下月台，鲁有光进入卡位时看边上装车卡位伸缩机伸到车厢内有人装货，就选择关停伸缩机流水线，从而跨越流水线时不慎失去重心摔倒，倒地时左手撑到地面，员工起来后以为没事擦了点红花油继续上班，下班后感觉手部不适</t>
  </si>
  <si>
    <t>左腕部</t>
  </si>
  <si>
    <t>火灾</t>
  </si>
  <si>
    <t>6月14日10:55左右，市内件装车区，后台装车6班卢光运在操作时看到九龙网点车辆冒烟，立刻上报班长黄佳新、向光荣，并一同前往车厢检查，发现车厢内部已经冒烟，班长黄佳新与员工卢光运立刻使用灭火器进行初步灭火，班长向光荣立刻进行上报。10：58左右主管王奇勇、何亚江、郑河，当班经理赵玖壹第一时间到达现场，发现该网点车辆粤LB4533车厢内部已经冒烟起火，当班经理赵玖壹立刻指挥司机把车辆转移到空旷过道再进行灭火。</t>
  </si>
  <si>
    <t>火灾类</t>
  </si>
  <si>
    <t>田祥洋</t>
  </si>
  <si>
    <t>2025年6月16日23:36分，航空卸货员工田祥洋在航空部卸货口8号口，在卸货过程中拉件被件砸到，导致重心不稳摔落，23点36分受伤以后员工感觉自己没问题没上报，继续回去卸车，在后面的监控中发现员工在现场一直在徘徊，到6月17日1点20身体不适才通知班组长，上报到中心安全员，安全员第一时间将员工送往医院，经医院诊断肋骨骨折，目前员工正在住院。</t>
  </si>
  <si>
    <t>肋骨</t>
  </si>
  <si>
    <t>李子豪</t>
  </si>
  <si>
    <t>2025年16日22:25分许，出港码货员工李子豪（1334458，男，18岁，4月18日入职）在出港B区二道尾端操作时未停机跨线体捡拾快件，导致右手臂卷入皮带受伤，手臂脱皮严重，随后组织车辆送往徐州仁慈医院治疗，经诊断右前臂软组织大面积缺损，目前已住院手术治疗，预估前期医疗费用10万余元，后期需要根据情况进行二次甚至多次植皮治疗。</t>
  </si>
  <si>
    <t>手臂</t>
  </si>
  <si>
    <t>张冉</t>
  </si>
  <si>
    <t>2025年6月16日晚18点时58分左右，员工张冉开完班前会后主动向班长说明未穿工服与马甲，预回宿舍穿取工服，行至步梯下来时，不慎意外从步梯下摔落到平台地面上。简单询问后该员工无法站立，用救护车送至江阴市人民医院，诊断为右下肢损伤，股骨骨折。</t>
  </si>
  <si>
    <t>右下肢</t>
  </si>
  <si>
    <t>张铁权</t>
  </si>
  <si>
    <t>东北沈阳转运中心</t>
  </si>
  <si>
    <t>东北-沈</t>
  </si>
  <si>
    <t>年6月20日03:49分左右，沈阳转运中心前台卸车员张铁权（1239579）在卸车过程中，司机（杭州-沈阳.浙A38K78）私自前移车辆导致员工从伸缩机上摔下，目前已经送医院就医，左跟骨粉碎性骨折</t>
  </si>
  <si>
    <t>左跟骨粉碎性骨折</t>
  </si>
  <si>
    <t>12月迟报</t>
  </si>
  <si>
    <t>陈以波</t>
  </si>
  <si>
    <t>机修人员（陈以波）在进港回流线维修设备时，不慎从线体上摔落至地面，调取监控，查看回放时，发现出事的位置偏暗，且比较窄，机修人员在维修设备时脚下没踩稳，导致从线体上摔落至地面，导致骨折</t>
  </si>
  <si>
    <t>尾椎骨折</t>
  </si>
  <si>
    <t>张红艳</t>
  </si>
  <si>
    <t>河南省公司</t>
  </si>
  <si>
    <t>2025年6月25日19时许，郑州中心员工张红艳在操作场地下直梯过程中崴脚受伤，由班长王俊姣开车将其送往医院治疗，诊断结果为左侧外踝骨折。主管对其伤情预估不足，且和员工沟通过程中，张红艳也并未有上报工伤需求，故未做工伤报备，2025年11月我公司收到港区法院关于张红艳要求确认劳动关系的诉讼传票，经与张红艳沟通协调，由平台公司申请工伤认定后撤销诉讼。故</t>
  </si>
  <si>
    <t>左踝关节</t>
  </si>
  <si>
    <t>杭盼凤</t>
  </si>
  <si>
    <t>2025.6.28早上5点05员工杭盼凤佩戴好头盔从住房骑电动车出门上班，因路上雨较大，员工在道路上视线不清，导致5点20分行驶到广东省增城区新塘镇香山大道处挂车违规停车，员工杭盼凤撞到挂车车尾摔倒导致脸部碰伤，挂车司机拨打120急诊5点40分左右救护车赶到，送往南方医院急诊，已到医院看望员工目前还在抢救室观察，医院诊断为双侧上颧骨侧骨折，目前交通事故责任认</t>
  </si>
  <si>
    <t>脸部</t>
  </si>
  <si>
    <t>赵庆周</t>
  </si>
  <si>
    <t>2025.6.19 日 22：20左右江西南昌转运中心员工赵庆周 （1141054）在长沙线装车因捡货时左手中指不慎被输送带夹伤，指甲脱落。 事件发生后班组长第一时间将受伤员工送往医院治疗，经医生诊断手指软组织伤，治疗花费预计500元左右</t>
  </si>
  <si>
    <t>手指</t>
  </si>
  <si>
    <t>杨兴洪</t>
  </si>
  <si>
    <t>湖北荆门转运中心</t>
  </si>
  <si>
    <t>2025年6月18日晚上17点20分左右，平台员工杨兴洪（工号：1314608）驾驶摩托车在上班途中（荆门转运中心大门右侧附近），被对向行驶小汽车撞伤，事发后至荆门市石化医院治疗，检查诊断为筋伤骨断症、右侧关节脱位，入院继续治疗。
事故认定书内容：对方车辆全责，杨兴洪无责任。</t>
  </si>
  <si>
    <t>右侧肩膀</t>
  </si>
  <si>
    <t>郑良芝</t>
  </si>
  <si>
    <t>6月20日早上7:16分左右，郑良芝回家途中骑电瓶车在简阳市沱四桥（天府九鼎国际大酒店）十字路口与直行社会车辆（轿车）相撞导致摔伤。致腰部损伤、左上肢损伤、左上肢皮肤挫伤、肺结节病、肝囊肿。在简阳中医医院住院治疗。</t>
  </si>
  <si>
    <t>腰部、左上肢损伤、左上肢皮肤挫伤、肺结节病、肝囊肿</t>
  </si>
  <si>
    <t>侯永兰</t>
  </si>
  <si>
    <t>西北西安转运中心</t>
  </si>
  <si>
    <t>6月20日18点40分左右侯永兰，工号: 1254704，在上班的途中摔伤（北上召汽车城十字）员工已去医院检查</t>
  </si>
  <si>
    <t>许云枫</t>
  </si>
  <si>
    <t>6月22日早上4点30分左右，平台员工许云枫（工号：1116482）在上班中途突然感觉头晕、四肢麻木，上报班长后，迅速联系医院安排救护车送往荆门市石化医院治疗，初步检查结果为脑部出血，医院已经收入重症监护室继续治疗。</t>
  </si>
  <si>
    <t>脑部</t>
  </si>
  <si>
    <t>田仁学</t>
  </si>
  <si>
    <t>平台员工田仁学在出港进行装车作业，由于货物较多导致正班车已发走，皮带机上源源不断的货被码在月台边缘，码货时其没注意导致脚下踩空，摔下月台。</t>
  </si>
  <si>
    <t>左额头皮撕脱伤</t>
  </si>
  <si>
    <t>管林林</t>
  </si>
  <si>
    <t>西北兰州转运中心</t>
  </si>
  <si>
    <t>25年6月19日06:14分员工姓名：管林林，工号：1296946，性别：男，在进港敦煌卡位装车时，三方车辆停靠不到位，与月台产生缝隙，员工中途下车时从车厢与月台中间缝隙处踩空掉落。</t>
  </si>
  <si>
    <t>左根骨骨折</t>
  </si>
  <si>
    <t>雷艺佳</t>
  </si>
  <si>
    <t>福建福州转运中心</t>
  </si>
  <si>
    <t>2025年6月23号23点23分左右，员工在进港场地二楼手工集包笼，割文件包的时候不慎割到手，后被送到福建中医药大学附属第三人民医院，经医生诊治伤口较深伤到神经，需要转院，后转到福州市第二总医院，被诊断为右手开放性手部损伤</t>
  </si>
  <si>
    <t>手部</t>
  </si>
  <si>
    <t>邓志刚</t>
  </si>
  <si>
    <t>6月23日13点30左右，员工邓志刚1327455在宿舍楼道摔倒</t>
  </si>
  <si>
    <t>锁骨骨折</t>
  </si>
  <si>
    <t>曾华</t>
  </si>
  <si>
    <t>中心机修 曾华 工号1297226，在场地用电钻将温度计固定在墙上时，右手操作电钻，未用左手固定温度计，导致温度计随螺丝转动伤到左眼。</t>
  </si>
  <si>
    <t>左眼</t>
  </si>
  <si>
    <t>艾斯卡尔·托合提</t>
  </si>
  <si>
    <t>西北新疆乌鲁木齐转运中心</t>
  </si>
  <si>
    <t xml:space="preserve">  2025年6月24日21:19:分左右进港卸车区员工“艾斯卡尔·托合提”在1号卸车口进行卸车作业时，高处货物坠落砸到员工艾斯卡尔·托合提，被砸出平板车外，人员右手被快件包裹砸到，
     同事松哈特·巴伙加 当即汇报班组长陈龙， 陈龙即前往现场进行查看，沟通主管陈小军，随即陈龙带领受伤人员前往医院进行检查；
     检查途中该员工向班组长表示 手部无较为明显伤，买点药品进行涂抹就可以，随即返回中心正常上班，当日及次日6月25日均正常到岗上班，  
     6月27日该员工感觉疼痛，随即在前往医院检查，经医院拍片检查判定为右尺桡骨远端骨折，
 （主管及班组长均未第一时间进行中心安全、经理、人资及相关群组上报）
     7月15日13时受伤员工手持医疗报告前往中心咨询人资医疗费用及其他费用如何报销，随即人资同步相关信息至中心安全员， 中心安全员进行事故调查</t>
  </si>
  <si>
    <t>乔清</t>
  </si>
  <si>
    <t>广西柳州转运中心</t>
  </si>
  <si>
    <t>2025年6月25日00:41出港夜班前台卸车员乔清在移动鼓风机时不慎触电倒地，在旁的员工韦振葵看到后立刻切断电源，乔清在原地休息两分钟后，自述左手手臂无法移动且疼痛，主管立即将他送往柳州市工人医院就医，于凌晨01:20左右到达医院。经医生初步诊断左肱骨一小结节骨折，心肌损伤。</t>
  </si>
  <si>
    <t>左肱骨一小结节骨折，心肌损伤</t>
  </si>
  <si>
    <t>电气类</t>
  </si>
  <si>
    <t>江志荣</t>
  </si>
  <si>
    <t xml:space="preserve">6月26日，揭阳进港前台卸车员工（江志荣）在卸货口六号线上面，准备使用铁棍去疏通快件，当员工拿起铁棍在行走的过程中，铁棍一端顶到铁板，导致另外一头翘起，直接划伤下巴，现场班长（罗岸滨）发现后第一时间将受伤员工送往揭阳市揭东区人民医院进行治疗和缝针处理，另外，对接现场班长后了解到，该受伤员工需要等待2天后换药，7天后拆线。  </t>
  </si>
  <si>
    <t>下颚</t>
  </si>
  <si>
    <t>刘利双</t>
  </si>
  <si>
    <t>京津冀天津转运中心</t>
  </si>
  <si>
    <t>员工刘利双上班途中驾驶电动车路过(天津东兴道与主干路二交叉路口)因闯红灯与对面行驶的机动车发生碰撞，造成受伤，现已被120拉往静海区医院。</t>
  </si>
  <si>
    <t>—</t>
  </si>
  <si>
    <t>刘东琼</t>
  </si>
  <si>
    <t>川藏南充转运中心</t>
  </si>
  <si>
    <t>刘东琼，性别:女，年龄:52岁，身份证号:512921197210012822，
职位:白班细分拉件员，南充转运中心，2025年6月28日上午08：15分左右，
南充转运中心，白班员工刘东琼（工号：020170008）站立在禁止分拣区域分拣
过程中左手被夹</t>
  </si>
  <si>
    <t>张品梅</t>
  </si>
  <si>
    <t>2025年6月23日凌晨一点左右，平台员工张品梅（工号：1332211）下班经过出港二楼环保袋区域时，不慎扭伤右脚，当时未见明显伤情，次日脚部肿胀。</t>
  </si>
  <si>
    <t>右足内侧楔骨粉碎性骨折</t>
  </si>
  <si>
    <t>马浩杰</t>
  </si>
  <si>
    <t>在C2库拦截线，因堵件班长马浩杰关机疏堵后下铁梯。梯子无人防护，重力加持下梯子倒下，导致当事人摔落</t>
  </si>
  <si>
    <t>李水抽</t>
  </si>
  <si>
    <t>员工李水抽，上厕所背对月台直梯下行。动作幅度过大，前冲碰到月台立柱的防护板尖锐口</t>
  </si>
  <si>
    <t>左膝外侧皮肤及软组织挫伤</t>
  </si>
  <si>
    <t>张小军</t>
  </si>
  <si>
    <t>内蒙古呼和浩特转运中心</t>
  </si>
  <si>
    <t>内蒙</t>
  </si>
  <si>
    <t xml:space="preserve">2025年6月26日19时59分09秒，员工张小军在呼和浩特转运中心操作场地，卸货岗位工作，货物掉落砸伤   后续由后勤负责人及班长送往内蒙古第二附属医院救治，诊断结果为右腕关节下尺桡关节分离。
</t>
  </si>
  <si>
    <t>右腕关节下尺桡关节分离</t>
  </si>
  <si>
    <t>冯春华</t>
  </si>
  <si>
    <t>6.29日18：23分社会车辆从石桥街道石一大道驶往318国道方向，行至简阳市石桥街道石桥大道石桥法庭外路段掉头时，致相对方向行驶，冯春华驾驶的无号牌电动自行车摔倒，造成冯春华受伤、车辆受损事故，6.29经简阳人民医院检查右侧顶部头皮稍肿胀等。7.4简阳人民医院检查为右侧第6-9腋内骨骨折，断端稍错位，右侧胸壁软组织稍肿胀，余未见确切错位骨折，建议复查除外隐</t>
  </si>
  <si>
    <t>小件自动化</t>
  </si>
  <si>
    <t>张小鹏</t>
  </si>
  <si>
    <t>25年6月9日04：30分左右，进港卸车口员工张小鹏（1325532）在卸车口20号机卸揭阳平板车时低头捡件被车厢高处掉下的箱子砸到左肩处，事发后员工未上报班组长继续工作，到04点40左右，员工感到疼痛上报班组长，班组长上报当班主管，当班主管未在中心异常事件群内上报，给员工说让自己去医院拍片检查，最终诊断结果为右肩胛骨骨折。</t>
  </si>
  <si>
    <t>右肩胛骨骨折</t>
  </si>
  <si>
    <t>9月迟报</t>
  </si>
  <si>
    <t>王永伟</t>
  </si>
  <si>
    <t>2025年05月29日18时18许，宗魁祯驾驶豫L825G9号小型普通客车从阳山路申通快递门口处出来时，与行人王永伟发生碰撞，造成车辆受损及行人王永伟受伤的交通事故。王永伟脚部受伤，在医院休养。</t>
  </si>
  <si>
    <t>脚部</t>
  </si>
  <si>
    <t>王金花</t>
  </si>
  <si>
    <t>2025 年 7月 1 日早上 08 点 00 分左右，广州转运中心员工王金花在上班途径广州市增城区新耀北路与创誉路交叉口红绿灯处时发生交通事故。因对方摩托车闯黄灯，把王金花驾驶的电动车撞倒，造成其摔倒足部受伤。摩托车司机随即拨打 110，并陪同王金花到南方医院增城分院进行治疗，医院诊断第5左足第五跖骨骨折，交通事故责任认定肇事司机全责，员工王金花无责</t>
  </si>
  <si>
    <t>异常现场处理初级助理</t>
  </si>
  <si>
    <t>谢建林</t>
  </si>
  <si>
    <t>2025年07月02日8点28分左右，台州转运中心操作员—谢建林（1338242）在中转循环线拉件。一包裹在循环过程中破损散开，内件铁质零件突然滑落砸到左脚，上报到中心安全员知道情况马上带去医院，经台州市第一人民医院诊断左足楔骨骨折。</t>
  </si>
  <si>
    <t>前台卸车员</t>
  </si>
  <si>
    <t>侯江平</t>
  </si>
  <si>
    <t>7月2日凌晨2点31分，出港夜班装车员侯江平，在装车过程中，由于皮带上货物太多，皮带运行缓慢或停滞，员工用手拉扯皮带，以致于被皮带夹伤，随后员工察觉到右手拇指疼痛，主管立即送往医院就医。现医院初步诊断关节损伤。</t>
  </si>
  <si>
    <t>装车</t>
  </si>
  <si>
    <t>天津转运中心员工刘利双，上班途中驾驶电动车路过(天津市静海区东兴道与主干路二交叉口)，因闯红灯与东面行驶过来的机动车发生碰撞。现医院诊断证明诊断为共6根肋骨骨折，目前交警未出交通事故责任书。伤情较为严重，具体后续流程中跟进。</t>
  </si>
  <si>
    <t>自动化集包员</t>
  </si>
  <si>
    <t>高贞许</t>
  </si>
  <si>
    <t>2025年07月02日22点16分左右，台州转运中心细分拉扫员-高贞许（工号：010100023）在6号线宁波装货口拉件时被拥堵后挤落的铁锥类快件砸到左脚。后上报中心人资带其前往台州市第一人民医院，经台州市第一人民医院诊断为左足第五趾近节趾骨骨折。</t>
  </si>
  <si>
    <t>左足</t>
  </si>
  <si>
    <t>陈立新</t>
  </si>
  <si>
    <t>2025年7月3号3点53分，因线体卡件堵线，员工陈立新疏通线体时  不慎手臂卡进皮带机，随即拨打120，然后到达固安县中医院拍CT，经医生诊断为手臂骨折，然后转院到涿州市医院，诊断为烫伤，尺桡骨骨折。</t>
  </si>
  <si>
    <t>异形件处理员</t>
  </si>
  <si>
    <t>何伟鹏</t>
  </si>
  <si>
    <t>2025年7月03日早上05:18时，何伟鹏在K2一分多笼子人工小件处作业时，因环保袋意外脱落导致支架倾斜戳到眼睛，导致右眼挫伤，右眼结膜撕裂，目前等待医院伤情鉴定报告，已安排住院治疗，CT报告暂未出结果。</t>
  </si>
  <si>
    <t>眼睛</t>
  </si>
  <si>
    <t>殷东生</t>
  </si>
  <si>
    <t>2025年7月4日4:56左右重庆转运中心出港员工殷东生下班后在食堂就餐，中暑在食堂晕倒，随即送往巴南区人民医院救治，医院诊断为中暑脱水、低血容量、休克、电解质紊乱</t>
  </si>
  <si>
    <t>后台装车员</t>
  </si>
  <si>
    <t>中暑类</t>
  </si>
  <si>
    <t>李蒙蒙</t>
  </si>
  <si>
    <t>员工李蒙蒙7月3日出勤中班,班次时间为：00:00-12:00。
2025年7月2日23:30分在徐水区大王店镇中纺路上班过程当中由于对向车道开启远光灯导致员工撞到一辆停在路边的机动车，医院诊断股骨骨折，预计治疗费用5000元，员工当时未做交通认定责任书且停在路边被撞车辆车牌照未记录，伤情较为严重，具体后续流程中跟进。</t>
  </si>
  <si>
    <t>自动化供件员</t>
  </si>
  <si>
    <t>关志宏</t>
  </si>
  <si>
    <t>00：30网点装车劳务工关志宏（56岁，山西运城）在与其他同事聊天过程中突然晕倒，现场进行心肺复苏人未苏醒。120急救于1点10分到场后进行抢救，仍未苏醒。随后120以及网点劳务老板跟车至泰州市第四人民医院，于凌晨3点左右未抢救成功，人现已经安排到九龙殡仪馆，该员工老婆和儿子也已与劳务碰面，家属暂未出现过激行为。</t>
  </si>
  <si>
    <t>其他</t>
  </si>
  <si>
    <t>刘一锋</t>
  </si>
  <si>
    <t>2025年7月6日 16：00左右 江西吉安转运中心员工刘一锋（1348539在回乡下老家处理家事后返回井开区家里的路上不小心与路边停放的货车发生碰撞造成员工左脚骨折，头部受伤；目前员工在吉安县人民医院骨科住院治疗 -事故认定书暂时未出-（先行交通意外报备）</t>
  </si>
  <si>
    <t>廉张布</t>
  </si>
  <si>
    <t>背景：2025年07月03日20时38分，员工廉张布（男，46岁）上完厕所回到车厢装车时，因皮带机被现场货物顶住，在装车操作中右脚不慎伸进伸缩机滚筒区域，导致右脚脚背受伤。目前员工正在住院治疗中，后续还需要手术植皮，预计需要花费20000元左右。
员工信息：
姓名：廉张布；性别：男；年龄：46岁；合同主体：湖口耳目一新信息技术有限公司；入职日期：2025年6月26日</t>
  </si>
  <si>
    <t>宋仁英</t>
  </si>
  <si>
    <t>2025年7月6日2:30分进港晚班NC侧滑供件员宋仁英（1343775）发生疑似中暑症状，先喝了一瓶藿香正气水后又喝了一瓶葡萄糖，身体还是不适，送医院后，诊断结果为头晕，目前已出院回家休息</t>
  </si>
  <si>
    <t>中暑</t>
  </si>
  <si>
    <t>廖志敏</t>
  </si>
  <si>
    <t>2025年7月7日01:01分进港晚班NC侧滑供件员廖志敏（工号1288979）发生疑似中暑症状，先喝了一瓶藿香正气水后又喝了一瓶葡萄糖，身体还是不适，送医院后，诊断结果为眩晕，目前已出院回家休息。</t>
  </si>
  <si>
    <t>农青青</t>
  </si>
  <si>
    <t>2025年7月6日2:30分进港晚班NC侧滑供件员农青青（工号1040592）发生疑似中暑症状，两人先喝了一瓶藿香正气水后又喝了一瓶葡萄糖，身体还是不适，直接晕倒了，送医院后，诊断为头晕和眩晕、中暑，需要住院观察。</t>
  </si>
  <si>
    <t>武传玉</t>
  </si>
  <si>
    <t>2025年7月7日16点40分，错分拉件员工武传玉（工号：1296896），因下雨在骑乘电动三轮车时打伞骑行，视野被阻挡，撞击到挂车厢侧方，立即送往医院，诊断为：胸骨、颈7左侧横突、双侧1-6及左侧第7肋多发骨折并双肺挫伤双侧液气胸并周围胸壁软组织内积气，需手术治疗。</t>
  </si>
  <si>
    <t>细分拉件员</t>
  </si>
  <si>
    <t>场内交通类</t>
  </si>
  <si>
    <t>王潇祎</t>
  </si>
  <si>
    <r>
      <rPr>
        <sz val="9"/>
        <color rgb="FF000000"/>
        <rFont val="微软雅黑"/>
        <charset val="134"/>
      </rPr>
      <t>出港受伤员工王潇</t>
    </r>
    <r>
      <rPr>
        <sz val="9"/>
        <color rgb="FF000000"/>
        <rFont val="宋体-简"/>
        <charset val="134"/>
      </rPr>
      <t>祎</t>
    </r>
    <r>
      <rPr>
        <sz val="9"/>
        <color rgb="FF000000"/>
        <rFont val="微软雅黑"/>
        <charset val="134"/>
      </rPr>
      <t>（ 第一天试岗员工）
该试岗员工岗位供包台，第一天试岗2小时后感觉身体发晕，有中暑现象，没站住，瘫倒在地导致牙齿摔断1颗，松动两颗</t>
    </r>
  </si>
  <si>
    <t>朱丽丽</t>
  </si>
  <si>
    <t>辽宁沈阳转运中心</t>
  </si>
  <si>
    <t>沈阳转运中心朱丽丽（工号:1346225） 于2025年7月9日下班在浑南区创新路与沈本大街附近，发生交通事故员工本人已死亡。  家属委托管辖派出所到申通了解情况。 目前判定工伤事故取决于是否为下班回家路途中，经中心内部核查朱丽丽不住宿舍，但下班后是否为回家路途待查。</t>
  </si>
  <si>
    <t>无</t>
  </si>
  <si>
    <t>陈小红</t>
  </si>
  <si>
    <t>2025年7月9日11点54分，中班员工陈小红卸车完成后，为了不影响赶二派的员工卸车，从捡异形件的斜坡拉滑槽跨过去，不小心滑倒摔落地面；事故发生后，立即送往医院治疗，初步诊断为左侧第6-11肋骨骨折伴软组织挫伤；</t>
  </si>
  <si>
    <t>左侧第6-11肋骨骨折伴软组织挫伤</t>
  </si>
  <si>
    <t>万宗华</t>
  </si>
  <si>
    <t>万宗华（ 工号1169728）在下楼梯过程中，从楼梯踏步滑落，造成左手摔伤，现出现肿胀。</t>
  </si>
  <si>
    <t>左手摔伤，现出现肿胀</t>
  </si>
  <si>
    <t>潘敏敏</t>
  </si>
  <si>
    <t>河北石家庄转运中心</t>
  </si>
  <si>
    <t>2025年7月9日16时54分，员工潘敏敏（工号1158354），在出港自动化集包区463格口操作时，当时需要关停走包线体，在去往电箱的过程中，不慎被环保袋意外绊倒。摔倒时双肘着地，导致左胳膊肘受伤。17点20员工疼痛不见好转，由班长路晓苹紧急送往医院检查。经河北医科大学第一医院检查后，初步诊断为肘关节骨折。</t>
  </si>
  <si>
    <t>史伟刚</t>
  </si>
  <si>
    <t>死者为史伟刚，凌晨4点多下班，下班后与杨万奇、杨涛、罗泽刚、黄永辉一起在罗泽刚625宿舍喝酒，喝的是罗泽刚酿的白酒，五个人共喝了一斤多，死者喝了三杯，早上7点01分，四人将喝醉的史伟刚搀扶回宿舍，史伟刚住519宿舍，他们送错宿舍，将史伟刚送到了525宿舍，后续11点左右525宿舍人员发现史伟刚没有呼吸遂报警。</t>
  </si>
  <si>
    <t>死亡</t>
  </si>
  <si>
    <t>祝兴菊</t>
  </si>
  <si>
    <t>员工出园区门口右转约500米在月台路与紫石路交叉路口，通过时，路边停靠车辆，司机变道未观察行人情况，未看到该员工，导致碰撞，后第一时间被送往合肥市第二人民医院救治，诊断结果未左足跖骨骨折，需对踝足支架固定休养，目前交通责任认定书已下，对方司机全责；</t>
  </si>
  <si>
    <t>细分拉扫员</t>
  </si>
  <si>
    <t>吝风雷</t>
  </si>
  <si>
    <t>【事件中心】西安进港
【发生时间】25年7月12日17点左右
【事件经过】进港A班 交叉带拆包员工 ：吝风雷，工号: 1208296，拆包平台员工吝风雷操作中“中暑”，头晕，呕吐，全身无力，休息半小时一直未恢复，送去医院继续治疗。</t>
  </si>
  <si>
    <t>高温中暑、抽搐（无具体部位）</t>
  </si>
  <si>
    <t>刘快快</t>
  </si>
  <si>
    <t>2025年7月12日凌晨03时48分左右，员工刘快快在进港场地27号口正常操作卸货，永康网点司机在未放至止退器时进行2次挪动车辆后，导致该员工从车厢摔落至地面。后续司机拨打120急救送至医院救治。经江阴市人民医院诊断为双跟骨骨折，需手术治疗。</t>
  </si>
  <si>
    <t>网点</t>
  </si>
  <si>
    <t>宋海龙</t>
  </si>
  <si>
    <t>四川自贡转运中心</t>
  </si>
  <si>
    <t>2025年7月14日上午06：33分中班细分拉件员宋海龙（工号：1341781），在清理进港N线尾部错分件，看到快件被线体尾部滚筒和下托滚卷入，该人员用手去抓快件，但未能将快件拔出，反将自己双手卷入导致受伤；左手左侧尺骨中段及烧骨下段骨折，右手右侧小臂周围软组织肿胀；余右侧尺烧骨及右手各骨未见确切错位性骨折征象。</t>
  </si>
  <si>
    <t>蓝罗军</t>
  </si>
  <si>
    <t>2025年7月14日03:23:02，南宁转运中心前台卸车员蓝罗军在出港十六号卸货口掀挂车篷布时在月台边缘不慎踏空坠落，随后当班班长胡权马上将员工送至南宁市兴宁区五塘镇中心卫生院治疗，经医院初步诊断员工右肩关节完全脱位，右肱骨近端撕裂性骨折，目前员工已住院并进行右肩关节复位治疗，目前原脱位的肱骨头已复位，现等待进一步治疗恢复，员工状态良好意识清醒。</t>
  </si>
  <si>
    <t>耿成恩</t>
  </si>
  <si>
    <t>员工耿成恩，2025年7月14日18点32分刚开机在前端疏堵，安全帽掉在传送带下方，手伸到传送带下面去捡安全帽，被传送带卷入，导致左手被夹伤</t>
  </si>
  <si>
    <t>陈晓圆</t>
  </si>
  <si>
    <t>河南洛阳转运中心</t>
  </si>
  <si>
    <t>2025年7月16日上午8点14分左右，洛阳前往漯河支援操作工陈晓圆在工作时，因现场温度较高，发生头晕、呕吐等中暑征兆，随后送往漯河市召陵区人民医院救治，中午12点员工经过救治人员已恢复正常。</t>
  </si>
  <si>
    <t xml:space="preserve"> 陈晓圆</t>
  </si>
  <si>
    <t>臧保安</t>
  </si>
  <si>
    <t xml:space="preserve">2025年7月16日凌晨2：25分员工臧保安（工号1255763）卸车途中未留意货物上方货物摆放情况，就近将跟前的货物卸下，导致堆积货物底部失去支撑上方小件掉落砸伤头部，后续第一时间将员工送往肥西中医院救治，初步诊断结果为，头部外伤需要缝合
</t>
  </si>
  <si>
    <t>头部</t>
  </si>
  <si>
    <t>李玲</t>
  </si>
  <si>
    <t>西安转运中心进港A班自动化供件员工-李玲（1341109），在2025年7月17日16:50左右上班过程中感觉身体不适，出现头晕呕吐的症状，班长发现后立即将员工带进办公室降温休息，在办公室突然晕倒，无意识，随即拨打了120了。目前已由120救护车送往咸阳市中心医院进行治疗，后续持续跟进。</t>
  </si>
  <si>
    <t>康建平</t>
  </si>
  <si>
    <t>下班途中发生交通事故，已送往医院治疗</t>
  </si>
  <si>
    <t>杨欣悦</t>
  </si>
  <si>
    <t>2025年7月16日中午13:10左右，员工杨欣悦（工号：1252832）从西安转运中心进港食堂用餐结束后，在食堂门口坐下休息时，突然全身冒冷汗，持续发抖不止，路过班长看到后，立即将员工转移到室内休息并采取降温措施，员工身体状况仍未见好转，随后立即拨打120将员工送往咸阳中心医院救治。</t>
  </si>
  <si>
    <t>康维</t>
  </si>
  <si>
    <t>2025年7月14日15:27分西安转运中心员工康维，在无面单库房打包货物时突然晕倒，现场人员立即送往室内降温，之后无意识，身体抽搐。班组随后拨打120送往咸阳医院救治，经诊断员工中暑严重，身体严重脱水缺钾；目前员工已经恢复意识，仍需住院治疗，后续跟进员工恢复情况。</t>
  </si>
  <si>
    <t>粗分驳货员</t>
  </si>
  <si>
    <t>2025年6月24日21:19:分左右进港卸车区员工·艾斯卡尔托合提”在1号起车口进行卸车作业时，高处贷物坠落丽到员工艾斯卡尔托合提，被硕出平板车外，人员右手被快件包惠砸到</t>
  </si>
  <si>
    <t>王涛</t>
  </si>
  <si>
    <t>2025年7月16日-12：30左右-江西南昌转运中心进港白班员工王涛（1299578），在1号卸货口卸揭阳车被车上货物划到了眼皮，事情发生后，班长送往医院治疗，眼皮缝了2针，目前花费800元 ，后续治疗费预估500元</t>
  </si>
  <si>
    <t>谢江华</t>
  </si>
  <si>
    <t>【事件中心】西安进港
【发生时间】25年7月16日17点30分左右
【事件经过】进港A班卸车口员工-谢江华（1348431）上班过程中中暑。目前人员意识不清，发烧39度，已安排车辆送往医院就诊，经诊断为中暑，需住院治疗。
【事件性质】中暑</t>
  </si>
  <si>
    <t>中暑，意识不清（无具体受伤部位）</t>
  </si>
  <si>
    <t>钱国臣</t>
  </si>
  <si>
    <t>2025年7月15日17：12分，异常件人员钱国臣在处理堵件疏通时，拆了护网清理卫生和夹件，把手夹伤了，立即送往固安县人民医院，初步诊断前臂损伤，尺骨茎突骨折，然后打破伤风消毒后回到公司，后去复查时，建议转院，现已转至北京首钢医院</t>
  </si>
  <si>
    <t>翻面单员</t>
  </si>
  <si>
    <t>李兴强</t>
  </si>
  <si>
    <t>2025年7月18日04点30分左右，港B班卸车口员工李兴强（1316059）上班过程中中暑，头晕恶心呕吐，腿软，送医院后昏迷，经救治后苏醒，医院联系住院治疗，要求进重症监护室，后续跟进报告。</t>
  </si>
  <si>
    <t>王要玲</t>
  </si>
  <si>
    <t>2025年07月17日晚上19:35分左右，漯河转运中心食堂帮厨员工王要玲（女、55岁），在食堂后厨储物间位置准备菜品时，地面有水渍，走路路过时脚滑（穿有防滑鞋）、跪坐在地，导致右腿关节内侧韧带损伤。</t>
  </si>
  <si>
    <t>帮厨</t>
  </si>
  <si>
    <t>简子朋</t>
  </si>
  <si>
    <t xml:space="preserve">川藏 </t>
  </si>
  <si>
    <t>2025年7月18日10:30分，简子朋在成都转运中心三号库扫描V线格口货物并码放时，货物码放不稳导致货物掉落砸脚受伤，现已送往简阳中医医院住院治疗，经医院检查左足第一趾骨末节骨折？等</t>
  </si>
  <si>
    <t>细分扫描员</t>
  </si>
  <si>
    <t>刘仕坤</t>
  </si>
  <si>
    <t>员工为出港晚班装车刘仕坤（工号1265397），2025年7月19日下午13:25，同寝室员工发现情况异常，事发时人员靠在床上意识模糊，小便失禁，嘴角有呕吐物 。 便立马打120送医，昆明云桥医院初步检查为颅内血肿。医院建议转院手术，紧急转往昆明延安医院。手术于7月19日晚21点结束，至今未清醒，已转入ICU，颅内有少量血，其他检查结果暂未拿到。</t>
  </si>
  <si>
    <t>李辉</t>
  </si>
  <si>
    <t>2025年7月18日中午12.15分左右，前往二楼区域拉小件时，经过线体，头部磕伤，随后前往漳州市医院就医，到达医院后缝合四针，医生建议休息2周，当天花费600+，总共预计产生费用800以内。</t>
  </si>
  <si>
    <t>一线新申力量-代理班长</t>
  </si>
  <si>
    <t>刘凯</t>
  </si>
  <si>
    <t>湖南常德转运中心</t>
  </si>
  <si>
    <t>2025年7月21日 17：00左右 ，湖南常德中心员工刘凯,工号：1339424 ，在驾驶电动车上班途中，行进到常德市武陵区紫缘路柏园桥堤道时，同行道正前方遇两名小男孩架自行车并排占道阻挡，通过过程中产生刮擦，电动车失衡员工摔倒在地。而后员工电话报警，交警及120急救车到场将刘凯送至常德市第一人民医院，目前医院检查完，CT检查结果疑似第4肋骨骨折，医生建议回家保守治</t>
  </si>
  <si>
    <t>徐巧玲</t>
  </si>
  <si>
    <t>1、7月17日18时17分，徐巧玲走楼梯前往002B区环线拿袋子，因未注意顶部消防管道，头部撞到消防管道后摔倒，坐到左脚脚踝上，导致脚踝扭伤，与班长反馈没事便请假2天；2、7月19日晚上徐巧玲上班时，觉得左脚脚踝依旧肿胀、疼痛，和班长沟通后，请假2天前往医院检查觉得问题不大并未进行上报；3、7月21日早上，班长找徐巧玲了解情况发现有骨折随即将情况同步给安全员和</t>
  </si>
  <si>
    <t>刘姣姣</t>
  </si>
  <si>
    <t>2025年07月17日上午07:25分左右，漯河转运中心员工刘姣姣（女、32岁），在进港4号库扫描拉包时，出现中暑头晕，呕吐，身体不适情况，随机自行前往中心餐厅中暑应急点位置，当班值班人员发现后第一时间通知主管、安全员，并让其躺下对其进行物理降温，拨打120。在送至召陵区第一人民医院后经医院抽血等检查，系该员工大量脱水导致中暑晕倒、呕吐，医生建议住院观察治</t>
  </si>
  <si>
    <t>细分回流处理员</t>
  </si>
  <si>
    <t>和孟娟</t>
  </si>
  <si>
    <t>【发生时间】25年7月17日23点00左右
【事件经过】进港B班 员工：何孟娟   工号:1213783，年龄:48分拣员，上班恶心头晕，呕吐，已安排员工在空调房休息后没有好转，头疼的厉害，需要送医院，这会打120，之后经过治疗已出院。</t>
  </si>
  <si>
    <t>中暑（头晕、无具体症状）</t>
  </si>
  <si>
    <t>唐归如</t>
  </si>
  <si>
    <t>2025年7月22日10点24分。白班8号线细分扫描员唐归如在休息期间喝水后，返回工位期间被现场设施绊倒了，事情发生后现场员工发现没有什么大碍，下午上班期间也没有什么问题就没有和班长说明，一直到23号早上6点和班长反馈说手动不了就第一时间和员工到深圳宝安松岗人民医院进行医疗检查。经医生诊断为：右桡骨小头骨折，已在受伤手臂打上石膏，需静养一个月，一个月</t>
  </si>
  <si>
    <t>右手</t>
  </si>
  <si>
    <t>陈小敏</t>
  </si>
  <si>
    <t>7月23日下午13:30，下班途中在大王店镇乐凯大街雷通购物广场附近员工陈小敏骑电动车与车辆发生碰撞，右腿膝盖磕伤，伤口较深进行缝合，未见骨关节病变，伤情还在观察中，未出具交通事故认定书，后续跟进后进行反馈。</t>
  </si>
  <si>
    <t>曾斌</t>
  </si>
  <si>
    <t>2025年7月26号 早上7：40左右；中心破损处理员曾斌（1144366）在一楼进港破损件处理区域作业，因口渴擅自离岗，骑电动三轮车去园区内超市买水 ,三轮电动车在行驶过程中失控，撞到004号装货口对面的柱子上，造成员工左腿膝盖受伤，三轮电动车受损，事故发生后，班组长已将伤者送往医院，医院检查结果为左髌骨粉碎性骨折。</t>
  </si>
  <si>
    <t>左膝关节</t>
  </si>
  <si>
    <t>赵源源</t>
  </si>
  <si>
    <t>西北宁夏银川转运中心</t>
  </si>
  <si>
    <t>7月27日，银川转运中心发生一起人员中暑事故，19：17进港人工拆包倒包作业人员赵源源在拆包倒包作业时，发生中暑事故，因中暑情况严重，拨打120送医治疗。</t>
  </si>
  <si>
    <t>程国圳</t>
  </si>
  <si>
    <t>程国圳（1325492） 2025年7月26日晚上19:46时，在K3库12号卸车口处卸车作业时，因货物意外掉落砸到左手环指导致左手环指末节指骨远端骨折,目前已送医治疗，建议治疗方案为打石膏逐渐使骨头生长起来。由于处在监控死角，无法提供事故发生视频。</t>
  </si>
  <si>
    <t>王世伟</t>
  </si>
  <si>
    <t>重庆省区重庆转运中心</t>
  </si>
  <si>
    <t>7月28日10:17分左右进港卸车员工王世伟（工号：1305866)在卸货口从月台摔落导致胸部擦伤，当时员工坚持不去医院说没问题，随后回宿舍休息。28日下午安排送医检查，检查结果软组织擦伤，无骨折。30日员工再次去医院检查，检查报告诊断为左第6、7肋骨骨折。</t>
  </si>
  <si>
    <t>张玉娇</t>
  </si>
  <si>
    <t>员工张玉娇（工号1291212）在现场操作扫描时晕倒，随后将员工送往合肥市第一人民医院滨湖院区急救，初步诊断为低血压导致的晕厥，输液检查结束员工随及返回宿舍休息。隔日员工在宿舍又感觉不适，联系家属后将员工带回老家休养，因员工处于经期，后续需要继续检查核实确切原因；特此报备</t>
  </si>
  <si>
    <t>吴亮</t>
  </si>
  <si>
    <t>2025年7月26日下午16：40分左右，平台吴亮（工号：1312402）在公司宿舍上厕所时因尿结石发作不慎摔倒，撞到厕所地面上，砸到头部，导致头部磕破，员工头部疼痛，事故发生后，宿管联系120并通知安全员送医，后经湖北航天医院检查为左侧额部软组织稍肿胀，针对吴亮的病情结果暂只做意外险报备。</t>
  </si>
  <si>
    <t xml:space="preserve"> 人工小件粗分员</t>
  </si>
  <si>
    <t>宋伟东</t>
  </si>
  <si>
    <t>西安转运中心A库交叉带集包人员宋伟东7月28日17:38分在作业过程中，开始头晕，浑身无力，恶心。上报班长后，已排空调房休息。但员工中暑症状仍无缓解，之后送医治疗。</t>
  </si>
  <si>
    <t>中暑（头晕恶心，无具体受伤部位）</t>
  </si>
  <si>
    <t>冯国龙</t>
  </si>
  <si>
    <t xml:space="preserve"> 沈阳中心后台装车员冯国龙(1260048)25年7月27日18:38分装车时有一包货掉在车厢内，员工看到掉货，去捡那包货，走到高低板连接处踩空绊倒摔伤。经医院诊断，员工左膝髌骨骨折。需要手术治疗。</t>
  </si>
  <si>
    <t>张玉英</t>
  </si>
  <si>
    <t>2025年7月31日1：41分，张玉英（工号：1288683）-人工理袋员，在倒环保袋过程中，被脚下环保袋绊倒，造成脚部扭伤，立即前往医院，经诊断脚踝骨折。</t>
  </si>
  <si>
    <t>脚踝骨折</t>
  </si>
  <si>
    <t>杨武</t>
  </si>
  <si>
    <r>
      <rPr>
        <sz val="9"/>
        <color rgb="FF000000"/>
        <rFont val="微软雅黑"/>
        <charset val="134"/>
      </rPr>
      <t>2025年07月30日19时26分，员工杨武因在装车操作中左脚不慎伸进伸缩机滚筒区域，导致左脚背受伤。现场主管班长发现受伤的员工后及时将受伤员工送往湾</t>
    </r>
    <r>
      <rPr>
        <sz val="9"/>
        <color rgb="FF000000"/>
        <rFont val="宋体-简"/>
        <charset val="134"/>
      </rPr>
      <t>沚</t>
    </r>
    <r>
      <rPr>
        <sz val="9"/>
        <color rgb="FF000000"/>
        <rFont val="微软雅黑"/>
        <charset val="134"/>
      </rPr>
      <t>区总医院。医生反馈伤口不严重，处理伤口后给该员工开药，建议员工一周后复查，但员工一直在宿舍休息，并未去医院进行复查。2025年9月5日，杨武去弋矶山医院复查后，检查结果为左脚背皮肤缺损，建议住院植皮进行治</t>
    </r>
  </si>
  <si>
    <t>左足背</t>
  </si>
  <si>
    <t>周剑波</t>
  </si>
  <si>
    <t>辽宁盘锦转运中心</t>
  </si>
  <si>
    <t>辽宁</t>
  </si>
  <si>
    <t>人员去整理环保袋路途中，出现晕倒昏迷情况，120到达时人员已死亡</t>
  </si>
  <si>
    <t>张小雪</t>
  </si>
  <si>
    <t>河南省区郑州转运中心</t>
  </si>
  <si>
    <t>8月30日早上6：40左右，进港夜班员工张小雪1257006下班途中骑电动车撞到路边停靠的半挂板车（车辆未动），人员受伤严重，路人报警并将其送往医院，截至目前交警事故责任认定书暂未出具。</t>
  </si>
  <si>
    <t>马学军</t>
  </si>
  <si>
    <t>江苏省淮安区</t>
  </si>
  <si>
    <t>8月30日机修工马学军在中午停机调试进港皮带跑俩时，调整托辊轴过程中扳手带进轴，手缩回过程跟皮带剐蹭时夹伤</t>
  </si>
  <si>
    <t>无历史判定条件2508新增</t>
  </si>
  <si>
    <t>徐杰</t>
  </si>
  <si>
    <t>2025年8月25日晚上20点左右，因西区循环线发生堵包，粗分驳货班长徐杰从东区循环线赶往西区循环线去疏通，在去的过程中，因走路速度过快，导致不小心踩空摔倒，锁骨及肩胛骨发生骨折，已送至衡阳县中医院住院治疗。</t>
  </si>
  <si>
    <t>锁骨</t>
  </si>
  <si>
    <t>郭正红</t>
  </si>
  <si>
    <t>江苏南通转运中心</t>
  </si>
  <si>
    <t>2025年8月31日7时4分，南通转运中心进港装车区，南通崇川区淘宝城网点驾驶员在未接收到发车通知的情况下，提前违规拿走车辆前方止退器并且私自动车，导致细分拉扫员郭正红在车厢内补码无法站稳摔落至月台下方。员工去往医院检查后，诊断为右侧第11肋骨骨折，腰1-3右侧横突骨折。</t>
  </si>
  <si>
    <t>右侧第11肋骨骨折、腰1-3右侧横突骨折</t>
  </si>
  <si>
    <t>黄粉</t>
  </si>
  <si>
    <t>江苏省淮安转运中心</t>
  </si>
  <si>
    <t>淮安8.27交通事故简介
2025年8月27日凌晨00点30分左右，进港C班二楼集包人员（ 黄粉，45岁 ，工号1349081女  工龄2个月左右）骑行二轮电动车上班途中，在233国道撞到路边异常物，当时报警后，自行到医院检查，现在在家中休养。医院诊断证明未见异常皮下血肿。目前费用员工自行付了五百元左右。
【性质初判】据员工描述：员工上班直行，撞到路边异常物。已报警，正式判定待警方出具《交通事故鉴定报告》。</t>
  </si>
  <si>
    <t>——</t>
  </si>
  <si>
    <t>王玉华</t>
  </si>
  <si>
    <t>2025年8月27日15点00分左右，机修王玉华（ 49岁 ，工号1258591，男  工龄16个月左右）在1楼进港矩阵下包线在调试皮带过程中：打钢扣→调整辊筒时发现有编织袋卡件，随后冒然去清理夹件。导致右手被夹。初步医院诊断：右手肘关节处皮肤烫伤（磨损烫伤），手掌有一处轻微骨折，目前在医院住院治疗中。</t>
  </si>
  <si>
    <t>朱兴贵</t>
  </si>
  <si>
    <t>2025年8月26日晚上 20:58 ，出港装车员朱兴在装车时从伸缩机上不慎跌落至车厢内，导致右膝盖受伤，无法正常行走。随后由班长何兴寿带到云桥医院，经检查右膝髌骨骨裂，手术于凌晨2:40结束，需住院治疗。</t>
  </si>
  <si>
    <t>右膝盖</t>
  </si>
  <si>
    <t>王秀丽</t>
  </si>
  <si>
    <t>2025年8月22日23：45，进港B班班长王秀丽（1223273）因人工循环线堵货，快件堵在两侧挡板中间。该员工通货时右手食指被快件夹伤，由于当时疼痛难忍，当班主管立即送往静海区医院，检查结果皮外伤，有医院影像报告结果；医院建议3天后复查，26号复查时诊断为右手第2指末节指骨骨折。</t>
  </si>
  <si>
    <t>右手第2指末节指骨</t>
  </si>
  <si>
    <t>贾世洪</t>
  </si>
  <si>
    <t>2025年8月25日凌晨3:07 左右，重庆转运中心进港夜班卸车员工贾世洪卸临沂-重庆-自贡(零担)车时，被货物砸伤左额头，随即送往巴南区人民医院救治，医院诊断为：额部头皮裂伤</t>
  </si>
  <si>
    <t>额部</t>
  </si>
  <si>
    <t>刘利伟</t>
  </si>
  <si>
    <t>河南省漯河转运中心</t>
  </si>
  <si>
    <t>【事发中心】：漯河转运中心
【发生时间】：25.08.23日19:50分左右
【事件经过】：夜班进港员工  刘利伟(1336984)在上班途中驾驶二轮电动车正常行驶至阳山路与松江路口时，被一辆电动三轮逆行撞倒，120到达现场后肇事者逃离现场。已报警。
【员工伤情】：120送医，到医院检查后：胳膊，耳朵，膝盖处三处擦伤。腿和头拍片结果暂无大碍。但是刘利伟说擦伤那条腿动不了，医生建议住院观察，后续再跟进。
【性质初判】：场外交通事故
【视频材料】：无</t>
  </si>
  <si>
    <t>胳膊，耳朵，膝盖处三处擦伤</t>
  </si>
  <si>
    <t>辛书卫</t>
  </si>
  <si>
    <t>2025年8月23日23:13进港集包员辛书卫从楼梯下到地面时被成捆环保绊倒。经诊断左髌骨骨折，回家服药佩戴护具修养待复查。</t>
  </si>
  <si>
    <t>左膝髌骨</t>
  </si>
  <si>
    <t>秦家敏</t>
  </si>
  <si>
    <t>操作工秦家敏8月1-19日因颈椎疼痛请病假休养，8月20-21日返岗两天后仍觉颈椎不适于22日自行前往医院医治。该员工提交病假流程时，流程中有疑似热射病诊断，在此之前从未向现场班主管告知其有中暑症状。目前员工自行前往社区医院挂水治疗，并于家中休养。</t>
  </si>
  <si>
    <t>身体</t>
  </si>
  <si>
    <t>张伟</t>
  </si>
  <si>
    <t>2025年8月23日5时21分，天津转运中心卸车员工张伟（1312689）清理破损件过程中，因地面存在大量异形件，避免踩件跨步较大，打滑后重心不稳掉落月台。造成左足跟骨粉碎性骨折，初步与医院沟通，需要住院手术治疗。</t>
  </si>
  <si>
    <t>耿忠灿</t>
  </si>
  <si>
    <t>[事故简述］2025年8月21日02:45分，细分拉扫员耿忠灿（1326750）下班时间在关停线体时不慎摔倒，当时无疼感，未上报至班长及主管，下午16:30上班时，右手手肘肿胀疼痛，就医后初步诊断右手肘桡骨头骨折，具体诊断报告明日8点后出。
监控视频：已调取
性质判断：意外事故</t>
  </si>
  <si>
    <t>右手手肘</t>
  </si>
  <si>
    <t>刘瑾宝</t>
  </si>
  <si>
    <t>8月19日3时15分，彬县网点公司雇佣司机刘瑾宝在2号卸货口倒车完成后，手持手机趴在相邻1号卸货口月台逗留。期间，1号卸货口的卸货车辆到达，司机徐国平倒车过程中，货车挤压到刘瑾宝，徐国平拨打120急救电话，急救医生到达现场后，确认刘瑾宝已无生命体征。</t>
  </si>
  <si>
    <t>彭尚海</t>
  </si>
  <si>
    <t>2025 年8月19 日凌晨3:34 左右，重庆转运中心进港夜班卸车员工彭尚海在卸北京一重庆（零担）车时，从伸缩机掉在地面摔伤，随即拨打120送往巴南区界石镇中心卫生院救治，医院诊断为：1.左侧颞部急性硬膜外血肿。2.额骨左侧、左侧颞骨骨折。3.左侧额颞部头皮血肿，少许积气。4.T3-8 椎体左侧横突骨折。5.左侧肩胛骨骨折。6.右桡骨远端骨折。</t>
  </si>
  <si>
    <t>头部、肩胛骨、右桡骨、胸椎</t>
  </si>
  <si>
    <t>王银聪</t>
  </si>
  <si>
    <t>2025-08-18</t>
  </si>
  <si>
    <t>2025年8月18日03时49分59秒深圳出港宝安场地后台装车7区细分扫描员王银聪在扫描位上因包件未摆正，遂跑过去摆正包件方便末端同事装车身体不慎磕到伸缩机上，员工感到疼痛去福永人员医院进行CT检查；诊断结果：左侧第7肋骨骨折，医生建议：休息一周。</t>
  </si>
  <si>
    <t>左侧第7肋骨</t>
  </si>
  <si>
    <t>周捷</t>
  </si>
  <si>
    <t>2025年8月16日08:24分左右前台分拣员工周捷（1343885）在分拣快递时，由于快递形状是圆形，重量比较重，在分拣时手指不小心被快递压到旁边的滑板槽边缘，导致右拇指受伤出血，经医院诊断为右拇指中肌腱损伤，目前住院治疗中。</t>
  </si>
  <si>
    <t>右拇指中肌腱损伤</t>
  </si>
  <si>
    <t>李天祥</t>
  </si>
  <si>
    <t>员工李天祥，在2025年8月15日4点12分左右，在卸货口卸车时，因司机（外请车辆西安-福州（加班））未停稳的原因，导致员工李天祥摔倒，后被送到福建医科大学附属协和医院旗山院区，结果医院告知需要8月18号周一下午4点才能出来，</t>
  </si>
  <si>
    <t>濮赟城</t>
  </si>
  <si>
    <t>因现场6S管理要求，清理场内报废物品，需使用叉车，员工在不知情况下开叉车送往北楼一楼途中在三期下坡处时叉车刹车失灵撞上坡道护栏 ，医院检查结果为左手手腕关节骨折</t>
  </si>
  <si>
    <t>左手腕</t>
  </si>
  <si>
    <t>黄英子</t>
  </si>
  <si>
    <t>2025年8月13日晚上19点50分左右，员工黄英子在上班途中遭到后方来向的电动车撞击，摔倒在地，导致胸部肋骨骨折和口腔牙齿松动脱落，立马报警，随后去医院治疗。</t>
  </si>
  <si>
    <t>肋骨骨折，口腔牙齿松动脱落</t>
  </si>
  <si>
    <t>李夫生</t>
  </si>
  <si>
    <t>河南郑州转运中心</t>
  </si>
  <si>
    <t>8月6日凌晨2点53分，郑州转运中心员工李夫生因下雨地面湿滑，在进出岗西北楼梯间滑倒，当时右手手腕处只有疼痛，感觉无大碍，8月7日疼痛无好转，现场主管带其就医，结果显右手手腕处无明显骨折，诊断结果为关节处水肿，8月10日该员工突然向公司要求必须要报工伤，请工伤假，不接受请病假。操作主管报人事部后于8月11日上报安全事故</t>
  </si>
  <si>
    <t>右腕部</t>
  </si>
  <si>
    <t>陈龙</t>
  </si>
  <si>
    <t>员工陈龙2025-08-07 06:10:00左右下班驾驶电动车回家时与逆向来车相撞发生意外，对方全责，随即员工自行前往安徽医科大学第一附属医院就诊，初步争端身体多处皮外伤，足部肿胀未见明显错位骨折，建议休息1周，若持续疼痛需要复查是否隐匿性骨折</t>
  </si>
  <si>
    <t>足部</t>
  </si>
  <si>
    <t>陈凯</t>
  </si>
  <si>
    <t>广州中心操作工陈凯8月6日，上班途中（约5：40）骑共享电动车因雨天路滑摔倒后被电动车压倒15秒，到公司附近发现走路疼痛，后到南方医院被诊断为骨折，员工未报交警，因员工问起公司保险相关事宜，特此意外报备。</t>
  </si>
  <si>
    <t>曹泽伟</t>
  </si>
  <si>
    <t>【事件中心】西安进港
【发生时间】25年8月4日23：30分左右
【事件经过】进港卸车口员工曹泽伟（1340920）行走时右脚碰到现场钢平台立柱，右脚看着有点肿胀没有明显伤痕，自己可以走动。</t>
  </si>
  <si>
    <t>右足</t>
  </si>
  <si>
    <t>赵关祥</t>
  </si>
  <si>
    <t>员工在三期一楼卸货口车厢内卸货时，身体不适中暑，后送往医院检查，结果为中暑，脱水，肾功能不全，心肌酶谱异常，现需要先住院观察后续情况</t>
  </si>
  <si>
    <t>肾，心脏</t>
  </si>
  <si>
    <t>沈壮彪</t>
  </si>
  <si>
    <t>沈壮彪上班时间骑行电动车到商店买水，骑行途中一只手打伞，返回途中撞到停放在园区内大货车车厢尾部。诊断结果为右侧额部头肿胀。</t>
  </si>
  <si>
    <t>头</t>
  </si>
  <si>
    <t>徐扬</t>
  </si>
  <si>
    <t>徐杨（1336953）在出港四号线装济宁车时中暑出汗过多导致（上肢）抽筋，转移至空调屋，拨打120、并脱衣冷敷降温。送医经过治疗后员工已无大碍，现在家休养，花费1500元左右需要报销。诊断相关医疗证明尚未提交给人力。</t>
  </si>
  <si>
    <t>中暑上肢抽筋</t>
  </si>
  <si>
    <t>《锂电池自燃事件》漯河王景龙 25.8.3日 1910分报告
［事发中心］漯河
［事发时间］25.8.3日18:30
［事件经过］进港18:30分   浙江金华–漯河中心，一快件770264253169686（内件锂电池两块）在线体自燃，处置及时未造成其它损失
［事件性质］违禁品自燃</t>
  </si>
  <si>
    <t>和树清</t>
  </si>
  <si>
    <t>2025年8月3号20:51分左右，和树清在装中山车时，不小心踏空，从流水线上摔下，后被送到福建中医药大学附属第三人民医院，目前拍片结果诊断考虑左桡骨小偷骨折，腰椎CT平扫+薄层展示：L5/S1椎间盘突出，L4/5椎键盘膨隆，具体结果需要等5号早上医生来上班后，才能出来，</t>
  </si>
  <si>
    <t>宗斌</t>
  </si>
  <si>
    <t>山东省济南转运中心</t>
  </si>
  <si>
    <t>试岗员工宗斌-交叉带倒包人员，凌晨1点18分该试岗员工出现异常情况，同一时间该区域班长发现并组织人员使用担架将异常人员转移到防暑办公室，采取一系列防暑降温措施后，无好转，1点40分救护车抵达厂区门口，1点50分到达第七人民医院抢救，2点15分转入ICU抢救，中暑人员6点43分抢救无效死亡，死亡原因热射病</t>
  </si>
  <si>
    <t>黄成</t>
  </si>
  <si>
    <t>2025年8月1日早上6点50分，广州转运中心白班前台卸车员黄成在卸货口处卸车被同事蔡永明拉的两个包砸到并掉下车，后安全员送其到南方医院进行治疗，后诊断为右足跟骨骨折，现住院观察治疗</t>
  </si>
  <si>
    <t>网店</t>
  </si>
  <si>
    <t>文新桂</t>
  </si>
  <si>
    <t>2025年8月25日03时32分44秒深圳出港宝安场地后台装车1区后台装车员文新桂装车搬运包件时蛇皮袋上有不明化学药水沾染大腿产生烧伤，医院诊断结果：右大腿烧伤（目前住院治疗，伤口已开始结痂），医生建议：休息贰周。</t>
  </si>
  <si>
    <t>右大腿</t>
  </si>
  <si>
    <t>中毒窒息化学灼伤类</t>
  </si>
  <si>
    <t>网店/中心</t>
  </si>
  <si>
    <t>机修马学军(工号1150205) 2025年8月30日13:00，中午停机在进港现场皮带跑偏调试设备时，调整托辊轴过程中扳手带进轴手缩回过程跟皮带剐蹭时夹伤，目前已做植皮治疗，花费6000左右。</t>
  </si>
  <si>
    <t>9月1日起机修事故判定责任</t>
  </si>
  <si>
    <t>2025年8月27日凌晨00点30分左右，进港C班二楼集包人员（ 黄粉，45岁 ，工号1349081女 工龄2个月左右）骑行二轮电动车上班途中，在233国道撞到路边异常物，当时报警后，自行到医院检查，现在在家中休养。医院诊断证明未见异常皮下血肿</t>
  </si>
  <si>
    <t>左侧颌面，双膝</t>
  </si>
  <si>
    <t>范世文</t>
  </si>
  <si>
    <t>时间：8月29日晚18:49分
地点：合肥转运中心出港一楼6号口
经过：合肥一网点装卸员工（范世文）在中心6号口卸车时，因网点司机未仔细观察移动车辆，导致该员工从月台摔下至右腿骨折受伤，经核实该员工非中心员工和中心所聘三方劳务工，为网点聘用的临时用工人员。
处置措施：省区网络已督促涉事网点对受伤员工治疗和后续事宜。</t>
  </si>
  <si>
    <t>腿骨折受伤</t>
  </si>
  <si>
    <t>祝心虎</t>
  </si>
  <si>
    <t>湖北省公司</t>
  </si>
  <si>
    <t>【发生时间】：2025.8.29日:18:18分
【事故经过】：自动化集包员-祝心虎（ 工号1188995）根据家属描述员工是在去上班途中出现交通意外，员工现在在进行抢救，身体多处骨折，肺部出血。
【员工伤情】：暂时不明
【性质初判】：场外交通事故
【上报人员】：董贤臣</t>
  </si>
  <si>
    <t>身体多处骨折，肺部出血</t>
  </si>
  <si>
    <t>李祖林</t>
  </si>
  <si>
    <t>2025年9月1日凌晨1点左右，重庆转运中心进港卸车员工李祖林（身份证号码 ：52213219781115791X）卸金华-武汉-重庆车时，被货物砸伤右脚，员工当时觉得并无大碍继续上班，9月2日觉得右脚疼痛，随后到重庆市巴南区重庆公路物流基地社区卫生服务中心进行检查，医院诊断为：右足中间楔骨骨折。</t>
  </si>
  <si>
    <t>桂小景</t>
  </si>
  <si>
    <t>中班自动化供件员桂小景（工号1064410）25.9.3日11：52分在供件台下斜梯时脚踏踏板滑落摔伤，当时员工以为没什么事没有向班长汇报，当晚来上班对班长说腰疼需要请假休息，直到9月6日人资审批请假流程时，要求员工提供建休证明时，员工才反馈是在场地内摔伤，经查监控，只有供件台上视频，因下面没有监控，故无法查看该员工滑落时的情况。</t>
  </si>
  <si>
    <t>右侧第7、9后肋骨折</t>
  </si>
  <si>
    <t>程起顺</t>
  </si>
  <si>
    <t xml:space="preserve">南 </t>
  </si>
  <si>
    <t>广州中心晚班前台卸车员程起顺9月3日9点20分，加班卸车时被掉落快件砸到头，随后马上去医院就诊并拍CT做检查，CT结果显示头顶轻微凹进去，员工反馈头痛；诊断结果9月4日下午才能出来。</t>
  </si>
  <si>
    <t>杨树政</t>
  </si>
  <si>
    <t>2025年9月4日04时22分左右 江西南昌转运中心出港装车线员工杨树政1152436装车过程中口渴去贩卖机去买水，回车厢装货的行进路程在车厢和月台的间隙踏空造成肋骨骨折，目前花费550元左右，预计费用1000+；医院诊断证明建议休息4周后复查
备注：（事件发生后员工自己觉得没有大碍，在家休息了2天，后面还上了2天班，员工自诉干活发力，胸口疼，随机去医院检查拍片-检查治疗</t>
  </si>
  <si>
    <t>邬金星</t>
  </si>
  <si>
    <t>人工小件细分员-邬金星（ 工号1220140）在分拣过程中，头部和右手母指被集包笼砸伤，造成右手拇指骨折。
员工在受伤后，任在继续工作，晚上给班组长汇报，手指疼痛加剧，今天早上到医院检查发现右手拇指骨折，后续还需要多次去医院换药做检查，现阶段做保守治疗，打石膏固定。现做工伤报备。</t>
  </si>
  <si>
    <t>右手拇指骨折</t>
  </si>
  <si>
    <t>任强力</t>
  </si>
  <si>
    <t>任强力电动车在机动车道向左转与王正久闯红灯相撞</t>
  </si>
  <si>
    <t>左侧第9肋闭合性骨折</t>
  </si>
  <si>
    <t>王学桂</t>
  </si>
  <si>
    <t xml:space="preserve">025年9月5日凌晨04：10  出港装车区员工“王学桂” 在由66号格口前往67 号格口拿取胶带使用过程中 ，违规进入即将发车的车厢内，借力踩踏北京方向加班车车厢通过立柱，车辆未观察到有人员私自进入车厢便启动，随即该人员从车厢与月台链接处掉落摔伤。 </t>
  </si>
  <si>
    <t>右侧肱骨近端粉碎性骨折</t>
  </si>
  <si>
    <t>代保民</t>
  </si>
  <si>
    <t>上海市浦东分拨中心</t>
  </si>
  <si>
    <t>9月6日2：48分左右，浦东中心机修员工代保民，暂停机器维修出港1号库南供件台交叉带，维修时设备突然启动，导致人员从交叉带上坠落。
2.经浦东医院诊断为，多发软组织损伤。右肩锁关节脱位，右环指近节、远节治关节脱位，右小指近节指关节脱位，多发肋骨骨折；需入住胸外科治疗。</t>
  </si>
  <si>
    <t>右小指近节指关节脱位，多发肋骨骨折</t>
  </si>
  <si>
    <t>陈荣玲</t>
  </si>
  <si>
    <t>安徽蚌埠转运中心</t>
  </si>
  <si>
    <t>2025年09月07日12时10分许，陈荣玲在下班回家路上发生两非机动车相撞事故，后续被送至蚌埠医科大学第二附属医院就诊，诊断为右侧髌骨骨折；后续需转至建工医院进行手术，二次手术需要取钢板。</t>
  </si>
  <si>
    <t>右侧髌骨</t>
  </si>
  <si>
    <t>庄期辉</t>
  </si>
  <si>
    <t>2025.9.7，7点23分左右
进港晚班员工庄期辉，驾驶摩托车下班经过菜鸟园十字路口辅路时，被货拉拉面包车撞倒，脑部  腿部受伤，现已送往医院进一步检查，目前交警到场处置中，暂未定责。</t>
  </si>
  <si>
    <t>脑部，腿部</t>
  </si>
  <si>
    <t>杨玉州</t>
  </si>
  <si>
    <t>前台卸车员（杨玉州 工号1360255 ）在卸车区月台楼梯下行时左手中指意外伸入楼梯护栏孔洞中，导致其左手中指被惯性力量扭伤。送医后医院诊断：左手第3指中节指骨近端撕脱性骨折，医院未开药，未包扎，让其自行购买指套佩戴，两周后复诊。</t>
  </si>
  <si>
    <t>左手中指</t>
  </si>
  <si>
    <t>次新玉</t>
  </si>
  <si>
    <t>【事发经过】入职4年的女员工（次新玉，工号1123354）临下班之际负责清场。在一号线体爬坡区域发现地面上有遗留件，拾取时下钻至线体下面，右手抓线体保持平衡。结果被卷入爬坡机托滚轴处。</t>
  </si>
  <si>
    <t>手背</t>
  </si>
  <si>
    <t>袁小建</t>
  </si>
  <si>
    <t>前台卸车员-袁小建（ 工号1357923）在2025年9月10日中午下班回家途中被4.2米箱式货车撞到，班长打电话员工未接，11日早上经过员工得知班长该员工被车撞了，刚刚我给员工打电话了解了事情经过，当时员工被撞昏迷了，受伤部位为脑部，目前在ICU里面，现在事故责任未认定。</t>
  </si>
  <si>
    <t>付萍</t>
  </si>
  <si>
    <t>付萍（1316114  平台员工）9月10日因在操作中被一捆环保袋砸到胸口，当天班长带至中心附近卫生院检查，检查无明显异常，医生建议休息及复查，经和员工沟通后，协调至三甲医院CT复查，结果为无明显错位性骨折，第5.6椎体上有凹陷，考虑为压缩性骨折，目前已经预约14日核磁检查 ，待检查结果出来后确定治疗方案。</t>
  </si>
  <si>
    <t>胸口</t>
  </si>
  <si>
    <t>王令辉</t>
  </si>
  <si>
    <t xml:space="preserve">9月10日休假期间王令辉在宿舍休息，9月11日5:10左右舍友回宿舍发现人坐在冲凉房门口，疑似摔倒，半身不能动弹，讲话不清头脑不清。 </t>
  </si>
  <si>
    <t>脑部疾病</t>
  </si>
  <si>
    <t>韦仕刚</t>
  </si>
  <si>
    <t>广东东莞转运中心</t>
  </si>
  <si>
    <t>【所属中心】：东莞转运中心
【发生时间】：2025年9月11日，8:25
【事故经过】：浙G93735车辆靠位后，中心车辆引导员扫的锁车码，司机陈灿阳看到系统显示发车，司机前往月台查看是否卸车，但未与卸车口员工沟通，当时员工正在操作流水线未开始卸货，在司机回到车上启动车辆过程中，卸车员工已开始卸车，从而导致员工摔落</t>
  </si>
  <si>
    <t>樊启羽1226290 王想1186034 罗洋1220458
李佳1167507 段孟炎1167502</t>
  </si>
  <si>
    <t>郑州转运中心</t>
  </si>
  <si>
    <t>2025年9月11日上午7点40分，段孟炎驾驶卡其色别克英朗轿车牌号豫A10SM3（车内乘坐人员有：樊启羽、王想 、罗洋 、李佳）沿思存路前往公司上班途中，在荆州路与思存路交叉口向东100米处，与自西向东且在公路中间转弯口左转时，大货车(车内有重物)发生交通事故，造成双车受损，段孟炎、樊启羽、王想 、罗洋 、李佳受伤的交通事故，段孟炎、樊启羽、王想 、罗洋 、李佳被送往郑州市第一人民医院南院区救治，目前交通事故责任认定书未出。</t>
  </si>
  <si>
    <t>多人受伤</t>
  </si>
  <si>
    <t>未划分责任目录
新增：SSE5003N</t>
  </si>
  <si>
    <t>王四明</t>
  </si>
  <si>
    <t>2025年9月12日22：45员工王四明（工号1198800）在出港套包时拉伤右手手腕，事后在凌晨12点半下班后，找班组长要求报工伤。在9月13日下午，公司没有收到该员工任何检查报告，电联说他要做手术，事后人资要求去医院拍片子检查、9月14日检查结果，无骨折迹象。</t>
  </si>
  <si>
    <t>右手手腕</t>
  </si>
  <si>
    <t>耿献贞</t>
  </si>
  <si>
    <t xml:space="preserve">       2025年9月12日上午接到员工耿献贞家人的电话，说耿献贞在12日早上下班的路上可能是摔倒受伤，后被路过我司其他员工发现送去就医，据称目前在重症救护室处于昏迷状态，有脑出血以及锁骨骨折病状。家属要求我司进行工伤报备。因事故不太明朗，先进行报备。
      </t>
  </si>
  <si>
    <t>脑部，锁骨</t>
  </si>
  <si>
    <t>原因不详</t>
  </si>
  <si>
    <t>钟家傅</t>
  </si>
  <si>
    <t>2025年9月13日公司员工钟加傅，负责进港天津装车口细分拉件，由于临近一派货物较多，造成流水线一个堵塞情况，在清理货品时，不慎货物将脚挤到伸缩机端头，将左脚的大拇指挤伤，造成跟腱有损伤，治疗费用预计10000元左右。</t>
  </si>
  <si>
    <t>宋娟</t>
  </si>
  <si>
    <t>员工宋娟2025年9月13日至人力资源部自述其于2025年9月9日00时49分，在上下班途中与一辆电概动三轮车发生碰撞发生交通事故，后三轮车驾驶员逃逸。</t>
  </si>
  <si>
    <t>左手手腕</t>
  </si>
  <si>
    <t>吴迪</t>
  </si>
  <si>
    <t>《卸货砸伤事故报告》
【事发中心】盘锦转运中心
【事件经过】盘锦转运中心卸货员工吴迪（1355434）2：51分在卸车过程中被倒塌货物砸倒，导致腿部受伤
【最终后果】右膝骨远端胫骨近端及腓骨小头骨挫伤股骨内侧髁骨折
前交叉韧带损伤，内侧副韧带损伤撕裂。
【预估费用】15000元
【视频提供】提供
【是否跟进】是</t>
  </si>
  <si>
    <t>腿</t>
  </si>
  <si>
    <t>胡云彪</t>
  </si>
  <si>
    <t>吉林长春转运中心</t>
  </si>
  <si>
    <t>东北-吉</t>
  </si>
  <si>
    <t>2025/9/14 23:23分 进港员工胡云彪，参与卸车时于下方接包，被陶洪兴卸包砸伤，包内装有锋利物品（铁锹头），导致左手小臂砸伤，造成开放性伤口，经医院诊断，左前臂外伤,肌肉断裂。立即将受伤员工送至医院，医生处理意见，清创肌肉缝合肌注破伤风免疫球蛋白250单位石膏外固定3周,隔日换药1天拆线 消炎一周 全休一个月。</t>
  </si>
  <si>
    <t>左手小臂</t>
  </si>
  <si>
    <t>唐振敏</t>
  </si>
  <si>
    <t>河南新乡转运中心</t>
  </si>
  <si>
    <t>2025年9月14日23：35员工：唐振敏410781198707226521（女，工号：1356079）在出港8号卸货口观察DWS，发现后端摆臂货物拥堵，并停止设备上去进行疏堵，23：35：22疏堵完成返回途中，不小心头部碰到到线体上方钢平台处，躲闪中至身体失去平衡，摔落地面（当时员工无外伤，意识正常）。00:12分将到员工送至召陵区人民医院进行检查就医。</t>
  </si>
  <si>
    <t>左侧肋骨，脾脏</t>
  </si>
  <si>
    <t>未划分责任目录
新增：SE1101C</t>
  </si>
  <si>
    <t>张国强</t>
  </si>
  <si>
    <t>2025年09月14日  7:10左右，员工张国强下班途中因躲避闯红灯电动车紧急刹车，被自己摩托车砸伤，后送往晋江中医院就诊，医生诊断为左侧胫骨平台骨折，左侧膝挫伤。</t>
  </si>
  <si>
    <t>左腿</t>
  </si>
  <si>
    <t>周莉莉</t>
  </si>
  <si>
    <t>【事发中心】：漯河转运中心
【发生时间】：25.09.14日12:30分左右
【事件经过】：白班半班员工--周莉莉(1222809)在下班途中驾驶二轮电动车正常行驶至阳山路路口时，路边社会车辆违规停靠，启动时未观察行车，至该员工撞到车辆车头摔倒，120送至召陵区中医院。已报警。
【员工伤情】：120送医，到医院检查后：胳膊，脚踝处二处擦伤，头部佩戴头盔，经检查均无大碍。等待交警事故判定。
【性质初判】：场外交通事故
【医疗费用】：费用670元
【视频材料】：无</t>
  </si>
  <si>
    <t>胳膊，脚踝处二处擦伤</t>
  </si>
  <si>
    <t>陈传胜</t>
  </si>
  <si>
    <t>陈传胜（020100030  正式员工）9月15日下午17：00左右，在宿舍卫生间无故晕倒，同宿舍人员看到后马上联系中心管理人员，随后120救护车送至医院，目前面部下巴处有外伤缝针治疗，晕倒原因还在继续排查中。</t>
  </si>
  <si>
    <t>面部</t>
  </si>
  <si>
    <t>闫建峰</t>
  </si>
  <si>
    <t>出港一楼员工（闫建峰，工号1010374）2025年9月15日上班期间，在出港地坑2号线矩阵下方进行停机疏堵，疏堵时用力过大失去重心导致身体后仰，头部撞到3-1下货口旁边立柱。事发后送至栾城县医院进行头部CT检查，颅内无出血，皮下血肿，显示枕骨骨折。</t>
  </si>
  <si>
    <t>梁锦辉</t>
  </si>
  <si>
    <t>2025年9月16日下午13：45，广州中心员工梁锦辉在集包区域清场时候把集包口盖板翘起来取夹件，被掉下来的盖板砸到后割到手指了，后被同事送往广东省水电医院治疗，目前诊断为右环指神经、屈肌腱部分断裂伤，需住院治疗</t>
  </si>
  <si>
    <t>袁辟成</t>
  </si>
  <si>
    <t>1.事故发生时间：  2025 年 9 月 16 日 11时 52分
2.事故地点：转运中心场地三台线
3.事故类别：夹手                        
4.本次事故预计费用（元）：10000
5.受伤员工姓名及身份证号：袁辟成，511303199802256313
事故详细经过：人工拆包倒包员袁辟成（1332239）打扫场地卫生时，冒险作业（未关停线体操作），导致手臂被托辊夹伤</t>
  </si>
  <si>
    <t>刘亚男</t>
  </si>
  <si>
    <t>2024年9月17日7点14分。DWS看机员刘亚男，从宿舍下楼的时候因注意力不集中滑到扭伤右脚，当时跟班长说没问题，可以正常上班。后续告诉班长说脚太痛，然后中午去深圳燕罗塘医院检查，诊断结果：为右脚踝撕裂性骨折，后转送到松岗人民医院已办理住院，需要做手术打钢钉。</t>
  </si>
  <si>
    <t>余成敏</t>
  </si>
  <si>
    <t>交叉机6区供件员工余成敏，25.9.17早上4点50分，供件员工余成敏在西边下供件台时右脚踩到快件上重心不稳摔倒，导致右脚扭伤，已送医院检查治疗</t>
  </si>
  <si>
    <t>张号强</t>
  </si>
  <si>
    <t>西安转运中心</t>
  </si>
  <si>
    <t xml:space="preserve">【事件经过】出港员工—张号强（1202088）抽调出来在未交付自建场地负责6S画线，员工去材料堆放区拿材料时滑倒，左右手掌碰在施工方在现场随意放的彩钢板上，导致左手手掌划伤，伤口长度大约7公分，现场已安排员工去医院缝针，因伤口太深，医院要求住院治疗，后续跟进报告
</t>
  </si>
  <si>
    <t>左手手掌</t>
  </si>
  <si>
    <t>吴建国</t>
  </si>
  <si>
    <t>2025年9月18日下午17:25分左右，重庆转运中心进港集包员吴建国（身份证号码：510226197410253438）在原出港平台过袋搬设备时脚底打滑摔倒，随后到重庆市巴南区中医院进行检查，医院诊断为：左侧第7和第8肋骨前段骨折</t>
  </si>
  <si>
    <t>吴健国</t>
  </si>
  <si>
    <t>出险的原因：2025年9月18日下午17:25分左右，重庆转运中心进港集包员吴建国（身份证号码：510226197410253438）在原出港平台过袋搬设备时脚底打滑摔倒，随后到重庆市巴南区中医院进行检查，医院诊断为：左侧第7和第8肋骨前段骨折</t>
  </si>
  <si>
    <t>陈志强</t>
  </si>
  <si>
    <t>江西南昌转运中心陈志强（1352794）2025.9月19日21点37左右在进港倒包台二区，因为倒包台区域流水线皮带卡死，拆包台员工陈志强拉扯卡死的皮带导致手指划伤，事件发生后班长第一时间送员工去医院检查治疗。经医院诊断需做神经恢复手术，预计治疗费费5000-6000元</t>
  </si>
  <si>
    <t xml:space="preserve">常调芳 </t>
  </si>
  <si>
    <t xml:space="preserve">甘肃兰州转运中心 </t>
  </si>
  <si>
    <t>《摔伤事件报告》2025年9月19日07时55分，下班经过办公区楼梯下行时与人交流，分心不看路造成摔倒至右肩膀脱臼</t>
  </si>
  <si>
    <t>王晓玲</t>
  </si>
  <si>
    <t>9月20日晚20点20分左右员工王晓玲骑电动车下班路上与机动车发生碰撞，120急救送往阜阳市第四人民医院，结合检查报告初步诊断：多处挫伤。</t>
  </si>
  <si>
    <t>唐如贵</t>
  </si>
  <si>
    <t>2025年9月20日9点20分，出港机修唐如贵，在机修房门口，换滚轴轴承，敲滚筒内置轴承套时，滚筒滑倒，砸到脚面，导致右脚大拇指受伤，经医院检查后，员工右脚大拇指轻微骨折</t>
  </si>
  <si>
    <t>卢龙</t>
  </si>
  <si>
    <t>员工卢龙在二号库h线k线回流错分线区域作业时，发现运行的流水线上快件夹在夹缝处，心存侥幸，在未停机时，便去拉扯快件，导致拉扯中手被卷入夹缝内。事发第一时间，主管（陈礼江-1051255）、班组长（陈橙-1141021)协调进行送医就诊，经检查结果为，右腕部开放性损伤，上肢血管神经肌腱损伤，现需要第一次手术清理完毕后，7天后观察伤口恢复情况，后续需安排2-3次手术</t>
  </si>
  <si>
    <t>陈飞飞</t>
  </si>
  <si>
    <t xml:space="preserve">员工1356690陈飞飞9月21号17:50时在上班路上骑电动车撞伤停在路边的货车，发生了交通事故，货车司机打120将其送到医院并报警进行事故责任认定。
</t>
  </si>
  <si>
    <t>孙双原</t>
  </si>
  <si>
    <t>2025年9月22日凌晨1点，交叉机6区破损处理员工孙双原，在东边横过供件环线下直梯时重心不稳右脚扭歪受伤，导致右脚受伤。经青浦中山医院诊断：右足撕脱性骨折，医院建议自购脚托固定，休息。医药费500元，后续可能有复查费用。</t>
  </si>
  <si>
    <t>毛强</t>
  </si>
  <si>
    <t>广西桂林转运中心</t>
  </si>
  <si>
    <t xml:space="preserve">姓名：毛强，身份证号：450305197710291070，入职时间：2025-02-07 ，用工主体：湖口耳目一新信息技术有限公司。
2025年9月22日18：00毛强家属到桂林中心找人事，提交“尸体处理通知书”并告知毛强于9月22日下班途中发生交通事故死亡，目前事故原因仍在调查。
经核实，毛强为进港夜班翻面单员，工作时间为19:10-7:10，9月22日其下班打卡时间为7:10。
</t>
  </si>
  <si>
    <t>亚生·买吐送</t>
  </si>
  <si>
    <t>2025年9月20日12时44分许，员工亚生·买吐送在乌市出港73号装车口操作伸缩机进行尾货回流搬运转运作业。在此期间，其手部不慎被正在运行的伸缩机左侧伸缩节接缝处夹入，导致手部无名指、小拇指被，员工应急反应 立即将手拔出，导致小拇指支架及其顶端组织被拉断、无名指部分皮肉撕烂。</t>
  </si>
  <si>
    <t>上海分拨中心</t>
  </si>
  <si>
    <t>2025年9月22日12时05分许，员工宿舍区食堂发生火情。经判定，起火点为食堂三号门附近厨房油烟管道。现场火情3分钟内得到迅速有效处置，未造成人员伤亡及财产损失。截止2025年9月24日未监测到舆情，无相关管理部门追责意见。</t>
  </si>
  <si>
    <t>杜洪彬</t>
  </si>
  <si>
    <t>9月23日下午17点30分左右，杜洪彬在B4-110宿舍淋浴间被同宿舍同事发现倒在淋浴间地上，身体无法行动，班长到现场后第一时间联系中心安全员 ，安全员拨打了120了，120于18点24分送往郑州第一人民医院南院区救治，本次时间系杜洪彬个人疾病，提报本次流程仅为超级报销提报专项借款（专项借款须有安全事件号）。</t>
  </si>
  <si>
    <t>陈海仁</t>
  </si>
  <si>
    <t>2025年9月23号凌晨4:40分左右在装（增城-金华-台州(二班车)，浙A57H08）车的过程中因流水线货物一下子来的太快没及时拿下来，铁块货物从线体上掉落砸到左脚，导致左脚小脚趾骨折，已送医院住院就诊。因受伤地点是在车厢内部监控无法看到详细画面，故无法提供有效的监控视频。</t>
  </si>
  <si>
    <t>沈颂银</t>
  </si>
  <si>
    <t>2025年9月23日10点35分左右，蚌埠转运中心，进港二楼西区下层倒包平台，解万兵、朱少斌在工作过程中，拦截整包文件向下方文件处理区扔文件时，不小心砸到破损处理员沈颂银，及时送往蚌埠市怀远荆塗医院检查，初步诊断未见明显异常，需3日后进行复查，考虑到后续复查可能会有相关病症，特此上报</t>
  </si>
  <si>
    <t>马燕梅</t>
  </si>
  <si>
    <t>【事发经过】入职1月的女员工（马燕梅，工号1354993）操作期间，员工马燕梅在出港1#线翻面单岗位，停线换岗，翻越线体时，脚没有踩稳，后仰倒下，右手去支撑身体，导致受伤。</t>
  </si>
  <si>
    <t>罗柳才</t>
  </si>
  <si>
    <t>细分拉件员-罗柳才（1156527）在2025.9.13 20:09拉件过程中造成快件破损，破损件是油，在去确认破损的过程中滑倒，14号早上员工自行去武汉同济医院做DR检查，诊断为膝关节痛，下肢损伤，建议病休7天，7天后未好转，21号去汉川人民医院做了磁共振检查，诊断为左膝关节半月板损伤及左膝交叉韧带及侧副韧带损伤，特此报备。</t>
  </si>
  <si>
    <t>望红涛</t>
  </si>
  <si>
    <t>2025.9.24日23:38分，细分拉件员-望红涛在食堂打饭的过程中，因地滑造成摔伤。</t>
  </si>
  <si>
    <t>胡静征</t>
  </si>
  <si>
    <t>江苏常州天宁中部网点公司</t>
  </si>
  <si>
    <t>2025年9月25日上午12点40左右，申通快递江苏常州天宁中部公司司机胡静征驾驶苏D77332货车到江阴转运中心拉货,行至戚月线路段 撞倒闯红灯的行人致其受伤，目前已送ICU抢救《情况暂未知悉》，货车目前被警方控制，司机拉的都是申通快递，货物已转移。
【事件进展】 
1、人员情况：1人还在抢救中，
2、车辆情况：货车无碍， 行人车辆已报废
3、责任情况：尚未定责 
4、费用情况：暂时未知
5、事故原因：行人闯红灯导致   
责任网点：江苏常州天宁区中部公司
责任片管：韩成晨</t>
  </si>
  <si>
    <t>谢艳艳</t>
  </si>
  <si>
    <t>25年9月26日07点20分左右西安出港丰树场地员工—谢艳艳（1359807）现场清场整理环保袋时员工谢艳艳看到脚下有正在清理的环保袋未清理强行从环保袋上通过，右脚挂在环保袋上导致摔倒，事故发生后班组长立即带员工去医院检查，检查结果右侧胫骨平台撕脱骨折，已对接现场班组长带员工去三甲医院检查治疗，后续跟进报告。</t>
  </si>
  <si>
    <t>侧胫骨平台撕脱骨折</t>
  </si>
  <si>
    <t>邹菲琪</t>
  </si>
  <si>
    <t>济南夜班员工邹菲琪（工号1363841），5时57分在手拉小推车经过电风扇位置时，因风扇阻挡道路，双手挪动风扇，导致左手中指被风扇叶片打伤，立即送往医院诊断为：手指肌腱部分断裂。</t>
  </si>
  <si>
    <t>艾瑞茹</t>
  </si>
  <si>
    <t>2025年9月29日，上午11:52分左右，进港员工艾瑞茹（工号1247738）在即将下班清场时间，未关机打扫线体下方卫生时发现防护底网上掉落一快件，随即用扫把杆去挑快件至手臂连带卷入设备滚轴中。</t>
  </si>
  <si>
    <t>李文</t>
  </si>
  <si>
    <t>9月28日晚上23点（中班班次23：50-11：50）左右，济南转运中心李文（工号：1219295），骑四轮电动车上班途中，发生交通事故，致本人昏迷，于重症监护室中治疗，伤情暂不明确，交通事故责任暂不明确；</t>
  </si>
  <si>
    <t xml:space="preserve"> 郑亮</t>
  </si>
  <si>
    <t>阜阳转运中心装卸员工，作业时不慎被铁皮刮破皮肉</t>
  </si>
  <si>
    <t>蒋家明</t>
  </si>
  <si>
    <t>9.30日班次航空出港装车人员蒋家明（50岁，工号，1325873男，50岁，工龄0.58），装洛阳卡位时，把腰扭了一下，员工当时没啥感觉，腰部稍有点不适，说腰有点疼了，去医院检查被诊断为腰部骨折，腰椎盘突出，腰椎退变，因此病情存在自身腰椎退变的可能性较大，复核视频，要关机时该员工扭了一下，有捂腰动作，经与员工及其家属沟通工伤判定，员工家属坚持要求公司帮其</t>
  </si>
  <si>
    <t>腰椎</t>
  </si>
  <si>
    <t>SE9001N</t>
  </si>
  <si>
    <t>1500.00</t>
  </si>
  <si>
    <t>刘其风</t>
  </si>
  <si>
    <t>固定夜班卸货员工，刘其风（50岁，工号1313678，男，工龄7个月）在9月29日00点17分20秒，清理搬运大货时，摔了一跤，摔跤后又站了起来，继续工作，当时没有反应，只觉得脚扭伤，继续上班，没有向组长、主管、安全等人员汇报，当天下班之后，10点39分在微信夜班卸货群里说脚痛没法走路，跟主管王双日请假，下午15点57分去医院检查，检查结果右外踝骨折。当天晚上已经住</t>
  </si>
  <si>
    <t>右外踝</t>
  </si>
  <si>
    <t>SE2010P</t>
  </si>
  <si>
    <t>解宝峰</t>
  </si>
  <si>
    <t>2025年10月2日02:17分，西安转运中心出港员工—解宝峰（1088606）在装车001号口装车时脚下踩空从月台处摔落，经兴平市人民医院诊断为右胘骨头后外侧凹陷骨折、右肩关节前下缘骨折。事件发生后现场班组长未再中心异常事件群上报，员工10月5日晚打电话上报当班主管，当班主管10月5日22；17分上报中心异常事件群。</t>
  </si>
  <si>
    <t>右胘骨头后外侧凹陷骨折、右肩关节前下缘骨折</t>
  </si>
  <si>
    <t>SE2001C</t>
  </si>
  <si>
    <t>20000.00</t>
  </si>
  <si>
    <t>卯申县</t>
  </si>
  <si>
    <t>2025年10月2日9点半左右，现场班长卯申县突然胸口疼，中心随即呼叫120，医生说情况不太好，心肌梗死出现室颤，除颤一次，病情稍缓解目前还疼，医生建议做手术放支架。11点半手术已完成，放一个支架，心脏供血恢复但未脱离危险，当天12点卯申县住院手续已办理好，已转入心内科CCU病房，人已苏醒，需持续住院观察。</t>
  </si>
  <si>
    <t>心脏</t>
  </si>
  <si>
    <t>SE8001N</t>
  </si>
  <si>
    <t>樊憧憧</t>
  </si>
  <si>
    <t>2025年10月2日-10：13分，江西南昌转运中心员工樊憧憧因违规站立乘坐电动三轮车，在三轮车拐弯时未减速，导致车上工具滑动，险些掉落。樊憧憧试图用脚将工具踢回车内，但由于未能站稳，最终被甩下三轮车。后续已第一时间送至医院治疗，医生诊断左侧第7前肋骨折。建议全休2周复查，目前花费医药费200元左右。</t>
  </si>
  <si>
    <t>左侧第7前肋骨折</t>
  </si>
  <si>
    <t>SE5002C</t>
  </si>
  <si>
    <t>1000.00</t>
  </si>
  <si>
    <t>吴道艳</t>
  </si>
  <si>
    <t>武汉转运中心</t>
  </si>
  <si>
    <t>2025.10.13日:30分，自动化供件员-在食堂打饭的过程中，因地滑造成摔伤。</t>
  </si>
  <si>
    <t>地滑摔伤</t>
  </si>
  <si>
    <t>林德</t>
  </si>
  <si>
    <t>2025年10月3号，员工林德13点15分下班后，13点26分在食堂刷卡后，14点30分在闽侯县上街镇工贸路被机动车追尾，对方全责，当事人林德无责任</t>
  </si>
  <si>
    <t>全身挫伤</t>
  </si>
  <si>
    <t>SE5003N</t>
  </si>
  <si>
    <t>0.00</t>
  </si>
  <si>
    <t>张双柱</t>
  </si>
  <si>
    <t>2025年10月4日6点15分，西安转运中心进港员工张双柱（工号：1142399），在异形件分货区通行时脚下踩空从月台上摔落。随后立即送往延安大学咸阳医院，经医生诊断为右侧肩胛骨骨折，需住院治疗。</t>
  </si>
  <si>
    <t>右侧肩胛骨骨折</t>
  </si>
  <si>
    <t>10000.00</t>
  </si>
  <si>
    <t>王细生</t>
  </si>
  <si>
    <t xml:space="preserve">王细生于2025年10月5号凌晨2 点17分左右，在进港场地桔园网点拉货时，不小心被货物绊倒，后被送到福建医科大学附属协和医院，经医生诊断为左腿膝盖骨骨折，只需在家里疗养，后续再去检查，
</t>
  </si>
  <si>
    <t>膝盖</t>
  </si>
  <si>
    <t>古超</t>
  </si>
  <si>
    <t>泉州转运中心</t>
  </si>
  <si>
    <t>10月6日 白班员工:古超，在当天班次结束后，骑电动车回家途中，经过:霞梧屿头高架桥时，与对向而来的电动车发生碰撞，导致受伤，时间:10月6日19:25左右，目前因当事人受伤较重，事故发生后，当事人昏迷，已被救护车送至:晋江市医院抢救中，经由:古超家人联系其他同事后，我们才得知这件事情，具体的事故原因有待进一步核实。</t>
  </si>
  <si>
    <t>王英</t>
  </si>
  <si>
    <t>2025.10.3  9日:16分，破损处理员-王英，在DWS分拣过程中，右手被DWS前端夹伤。</t>
  </si>
  <si>
    <t>SE1001C</t>
  </si>
  <si>
    <t>杨小波</t>
  </si>
  <si>
    <t>武昌转运中心</t>
  </si>
  <si>
    <t>2025年10月6日19：20员工杨小波（工号1316369）在出港卸完货回收伸缩机过程中，司机未确认伸缩机未全部收回，违规擅动车辆，至使员工杨小波在狭小空间内无法规避，导致右腿夹伤，诊断结果为：右侧胫、腓骨下段骨折，断端稍错位。</t>
  </si>
  <si>
    <t>车队/网点</t>
  </si>
  <si>
    <t>11/08迟报</t>
  </si>
  <si>
    <t>李强辉</t>
  </si>
  <si>
    <t>2025年10月9日凌晨02：28，天津转运中心倒包员工李强辉（1327018）疏通线体后，从线体上单脚下跳，身体落地不稳，膝盖磕到地面造成左胫骨骨折。</t>
  </si>
  <si>
    <t>左胫骨</t>
  </si>
  <si>
    <t>SE2013C</t>
  </si>
  <si>
    <t>文仲仪</t>
  </si>
  <si>
    <t>2025年10月9日凌晨3点7分，文仲仪去拿一票夹在供件台交接口的快件（关机状态下），返回供件台岗位时（设计缺陷有个洞口改造不了且是必经之路）跨过异常口踩空摔落，意外发生后，现场管理立即送往医院检查，诊断为肋骨骨折。员工无需住院观察，医院建议休息7天，使用肋骨固定带固定。</t>
  </si>
  <si>
    <t>SE2009C</t>
  </si>
  <si>
    <t>王德锋</t>
  </si>
  <si>
    <t>东北</t>
  </si>
  <si>
    <t>2025年10月10日10点41分大连中心员工王德锋，因当天中心下着小雨，月台比较湿滑，员工在月台处卸货时脚踩空不慎摔落月台和车厢之间缝隙中，导致腰部受伤，当时班组长和主管认为是轻微摔伤，让员工休息，员工10月11日感觉腰部不能动，去医院检查，急诊诊断为右髂后部挫伤，医生建议休息制动，3-7天骨科就诊，ct检查报告是骨盆未见明确骨折，左髂骨斑片高密度，所示盆</t>
  </si>
  <si>
    <t>盆腔</t>
  </si>
  <si>
    <t>11/06迟报</t>
  </si>
  <si>
    <t>王继新</t>
  </si>
  <si>
    <t>员工王继新于10月11日19点36分下班行经川海大厦斜对面路段(该地段路灯昏暗，光线不足)与从路边绿化带中冲出来的一位骑着电动车的老人相撞，事故导致王继新锁骨骨折，目前该员工仍在住院手术治疗中。</t>
  </si>
  <si>
    <t>右侧锁骨</t>
  </si>
  <si>
    <t>15000.00</t>
  </si>
  <si>
    <t>郝四奴</t>
  </si>
  <si>
    <t>山西太原转运中心</t>
  </si>
  <si>
    <t>山西</t>
  </si>
  <si>
    <t>平台员工郝四奴于2025-10-11 04:26分台板工作期间向当班班长报告出现肚子疼痛症状，经片刻休息后疼痛未能缓解，反而疼痛加剧，当班班长立即陪同员工前往医院就诊，经医院医生诊断为腹股沟斜疝，建议手术治疗，预计费用15000元。</t>
  </si>
  <si>
    <t>腹股沟斜疝</t>
  </si>
  <si>
    <t>张飞</t>
  </si>
  <si>
    <t>2025年10月12日晚23点46分左右，出港夜班装车工张飞1234864在郑州转运中心出港装车操作结束之后，去往另一货位过程中经过现场回流带，因现场货物堆积过多，员工行走时重心不稳，下意识手扶二层皮带，不慎将左手卷入二层皮带滚轴中，具体原因正在调查中，目前医院检查结果为皮肤组织损伤，无骨折。</t>
  </si>
  <si>
    <t>SE1002C</t>
  </si>
  <si>
    <t>30000.00</t>
  </si>
  <si>
    <t>廖红勤/李欣芩</t>
  </si>
  <si>
    <t>廖红勤于2025/8/18入职晚班人工小件细分员，班次时间19：10-7：10，合同主体为湖口耳目一新信息技术有限公司，2025年10月13日18：40分李欣芩骑电动车搭载廖红勤在临桂区市民公园公交站路段为避让其他电动车掉头导致侧滑摔倒，造成两人一人盆骨骨折一个轻微脑震荡，对方否认事故责任，现交警事故责任认定书未出。</t>
  </si>
  <si>
    <t>王丹妮</t>
  </si>
  <si>
    <t>2025年10月13日上午11点54分左右安徽阜阳转运中心现场南回流线人工理袋区域，破损处理员工王丹妮，途径南回流线人工理袋区时，未注意上方设备挡板头部与设备挡板磕到，造成员工头部流血即报备班主管，及时去医院检查并注射破伤风，诊断为头部磕碰外伤。</t>
  </si>
  <si>
    <t>SE1101C</t>
  </si>
  <si>
    <t>黄松民</t>
  </si>
  <si>
    <t>员工凌晨一点零一分，在出港人工区集包576号笼子操作时，右手大拇指放在铁笼子右侧，拉下铁笼盖子时，因弹簧力比较大夹伤手指，到凌晨三点时疼痛难忍去医院就医，检查诊断为右手大拇指近节指骨骨折，员工及家属决定采取保守治疗，右手大拇指已打石膏固定</t>
  </si>
  <si>
    <t>右手大拇指</t>
  </si>
  <si>
    <t>SE9008P</t>
  </si>
  <si>
    <t>刘政斌</t>
  </si>
  <si>
    <t>2025年10月15日18:39左右，刘政斌，工号：1088658，出港卸货工人在19号口卸朝阳车辆过程中，正常搬运货物（货物为40斤重货），被其车中门翘起的铁片划伤，经监控核实我司员工无违规操作，目前已送医院治疗，确诊为开放性手部损伤。</t>
  </si>
  <si>
    <t>SE9008N</t>
  </si>
  <si>
    <t>徐小龙</t>
  </si>
  <si>
    <t xml:space="preserve">2025年10月15日  11:30分左右，徐小龙与4名操作人员在中心场地外围配件堆放处拆除设备滚筒。由于滚筒重量过大，用力不当，导滚筒滑落砸伤徐小龙手指，导致左手小拇指与无名指前端出现明显伤口，随后进行简单包扎送往医院。 </t>
  </si>
  <si>
    <t>左手无名指与小拇指</t>
  </si>
  <si>
    <t>SE3005C</t>
  </si>
  <si>
    <t>2000.00</t>
  </si>
  <si>
    <t>孔令帅</t>
  </si>
  <si>
    <t>2025年10月15日  2:38左右，员工孔令帅在进港卸货口卸车时，司机听错指令以为车没倒好往前开，导致员工从箱体尾部摔出，后送往晋江中西医结合医院就诊，医生诊断为腰椎L1-3椎体右侧横突骨折。</t>
  </si>
  <si>
    <t>腰部</t>
  </si>
  <si>
    <t>SE2012Q</t>
  </si>
  <si>
    <t>杨志豪</t>
  </si>
  <si>
    <t>2024年9月16日0点23分。前台晚班卸车员杨志豪在卸杭州临平车的时候包件滑下砸到左脚，当时员工以为不严重，班长让他先回去休息。杨志豪白天感觉不适，去深圳燕罗塘医院检查。诊断结果：为左脚小拇指轻微骨折，医生建议休息2周</t>
  </si>
  <si>
    <t>SE3001N</t>
  </si>
  <si>
    <t>5000.00</t>
  </si>
  <si>
    <t>杜春梅</t>
  </si>
  <si>
    <t>2025年10月16日  4:40左右，员工杜春梅因私事外出处理，后返岗路上被醉驾电动车司机追尾，后送往晋江市医院就诊，医生诊断为腰椎骨骨折。</t>
  </si>
  <si>
    <t>谢七生</t>
  </si>
  <si>
    <t>2025年 10月17日，员工谢七生在进港196常德卡位往后撤拖包时，右脚发软未站稳导致右脚第五根小指头扭伤骨折</t>
  </si>
  <si>
    <t>右脚第五根小指头</t>
  </si>
  <si>
    <t>8000.00</t>
  </si>
  <si>
    <t>况安康</t>
  </si>
  <si>
    <t>2025年10月17日-21：30分，江西南昌转运中心人工小件细分员况安康1193664违规处理破损快递时未佩戴安全防护装备，快递内危险化学用品泄露导致员工吸入有毒气体。目前已花费3000元左右，医院诊断意见继续留医院治疗。（发件网点违规寄禁品，治疗费用由发件网点承担；员工痊愈出院后若有其它后遗症转为正式工伤报备）</t>
  </si>
  <si>
    <t>刺激性气体中毒</t>
  </si>
  <si>
    <t>中毒窒息类</t>
  </si>
  <si>
    <t>SE9005Q</t>
  </si>
  <si>
    <t>0</t>
  </si>
  <si>
    <t>刘小红</t>
  </si>
  <si>
    <t>2025年10月17日下午23时40分左右，自动化供件员 刘小红（1103103）在35号楼梯上厕所时滑倒摔伤手臂，去往医院检查检查结果左侧桡骨骨</t>
  </si>
  <si>
    <t>左臂桡骨</t>
  </si>
  <si>
    <t>崔廷涛</t>
  </si>
  <si>
    <t>2025年10月17日凌晨2:55左右，重庆转运中心进港夜班员工崔廷涛(1350619)在巡查环线时，发现打板下方有件，去取出时被打板夹住手指，受伤后第一时间送往巴南区人民医院诊断为:手指开放性伤口伴有指甲损害,开放性指骨骨折。</t>
  </si>
  <si>
    <t>SE1004C</t>
  </si>
  <si>
    <t>许荣财</t>
  </si>
  <si>
    <t>10月18日早上6点10分左右，员工许荣财1011256在下班途中骑车被对方逆行电动车撞倒，员工报警并去医院做检查，目前正在医院接受治疗（牙齿被撞掉，嘴唇撞裂，头上有伤口待消肿）</t>
  </si>
  <si>
    <t>嘴唇、牙齿、额头</t>
  </si>
  <si>
    <t>郝向军</t>
  </si>
  <si>
    <t>2025年10月19日10时30分，天津转运中心拆包员郝向军1376313,拆包过程中袋子勾到手一同卷到滑槽夹缝处。（夹手后员工感觉无大碍，手指正常活动，认为没有事，主管多次建议去医院检查，员工去静海区医院检查为皮外伤消毒后建议修养。员工家属不放心又到静海中医院检查，同样为皮外伤，随后又到天津市骨科医院检查同样为皮外伤，员工家属提出要求在家休养并开工伤工资）</t>
  </si>
  <si>
    <t>SE4003C</t>
  </si>
  <si>
    <t>500.00</t>
  </si>
  <si>
    <t>候加顺</t>
  </si>
  <si>
    <t>2025年10月20日  19:26分左右， 候加顺上班，出港11线，浦东卡位装车，工作过程用中员工身体不适，身体发虚汗，神志不清，出现昏迷呕吐现象，现场同步拨打120，送往县级医院。20:10分经诊断为脑出血，生命垂危。随即在安全员的陪同下转至市级医院。21:38分到达市医院抢救。</t>
  </si>
  <si>
    <t>颅内动脉瘤破裂伴蛛网膜下腔出血</t>
  </si>
  <si>
    <t>110000.00</t>
  </si>
  <si>
    <t>黄生明</t>
  </si>
  <si>
    <t>2025年10月21日4:30分左右，广州转运中心晚班后台装车员工黄生明，在装三水白泥公司车时，被伸缩机拉头接缝处夹伤左手无名指，已第一时间送至南方医院包扎，目前初步诊断证明为开放性手部损伤，后续需进行手术治疗</t>
  </si>
  <si>
    <t>周国栋</t>
  </si>
  <si>
    <t>2025年10月22日早上7点20左右，员工周国栋正常驾驶电瓶车下班，途中经过船山西路时，不慎撞到马路牙子上，摔倒导致小腿骨折，之后员工联系家人将其送至衡阳市中医正骨医院治疗。</t>
  </si>
  <si>
    <t>腿部</t>
  </si>
  <si>
    <t>潘成燕</t>
  </si>
  <si>
    <t>2025年10月24日19：55分左右，蚌埠转运中心员工潘成燕在蚌埠出港库查看是否有堵件情况，从楼梯往下未注意踩空掉落下去，当晚及时送往蚌埠市中医院治疗，初步诊断左臀部局部软组织水肿，需要住院几天吊水消炎。</t>
  </si>
  <si>
    <t>左臀</t>
  </si>
  <si>
    <t>杨秀泽</t>
  </si>
  <si>
    <t>2025 年10月24日06时40分，b 班员工杨秀泽（工号 1376464）在卸车时不慎将膝盖扭伤，事故发生后，班组长彭世勋（工号 1335017）第一时间协调资源，将杨秀泽（工号 1376464）送往医院就诊，确保受伤员工得到及时救治。后经医院诊断，受伤部位为左侧髌骨，确诊左侧髌骨内侧缘撕脱性骨折，左膝关节积液，左膝周围软组织肿胀。</t>
  </si>
  <si>
    <t>左脚膝盖</t>
  </si>
  <si>
    <t>何松卫</t>
  </si>
  <si>
    <t>郑州-中山（三班车）车辆副驾驶何松卫（车牌号:豫A5873R，任务单号:81251439255）在郑州转运中心出港C库中山货位口突然倒下。
现场人员第一时间拨打120，经抢救（35分钟）无效，该名驾驶员已无生命体征，车队管理人员第一时间到达现场，8：20分左右经法医鉴定后，已将去世人员带离园区。</t>
  </si>
  <si>
    <t>心脑血管</t>
  </si>
  <si>
    <t>王家玉</t>
  </si>
  <si>
    <t xml:space="preserve">2025年10月26日9点40分，自贡转运中心中班卸货口员工王家玉拉包时，在卸货口伸缩机接头卡住手指，将手指夹断。事情发生后，立即安排将该员工送医，经医院检查，初步诊断为手指断裂，医院回复保不住手指，已转四川省第四人民医院入院治疗，初步诊断:1、左手拇指末节撕脱性离断伤;2、左手拇指、左手大鱼际肌软组织脱套伤。
</t>
  </si>
  <si>
    <t>左手大拇指</t>
  </si>
  <si>
    <t>150000.00</t>
  </si>
  <si>
    <t>梁光能</t>
  </si>
  <si>
    <t>一、事件概述
10月26日7点40分左右，上海转运中心员工梁光能（签约荆门百尺信息技术有限公司，无保险）被同宿舍人员发现陷入昏迷状态，中心紧急拨打120将其送医急救并联系了员工家属，当天上午约9点30分因员工脑出血严重已安排进入手术室进行手术，目前仍在抢救中。据了解员工因身体不适24日及25日均未上班在宿舍休息。员工兄弟预计中午11点左右抵达，及时安排人员对</t>
  </si>
  <si>
    <t>头部脑溢血</t>
  </si>
  <si>
    <t>杜彬</t>
  </si>
  <si>
    <t>《网点员工脑溢血中心晕厥事件报告》 西安-赵豪杰25年10月28日19：08分 报告
【事件中心】西安进港
【发生时间】25年10月27日21点10分左右
【事件经过】现场员工上厕所时发现有名人员晕厥在厕所内，随即上报中心现场管理，当班主管到达现场后拨打120，调查该人员信息证实该名人员为高陵网点装车人员，因人员为网点人员，现场联系网点后未再异常群内上报，
【事件性质】脑溢血
［事件处置］现场调查证实该名人员为高陵网点装车人员，已对接省区综合部经理谭道明约谈高陵网点和网点装卸外包队伍老板，中心不参与对接此事件。</t>
  </si>
  <si>
    <t>迟换洋</t>
  </si>
  <si>
    <t>台州转运中心</t>
  </si>
  <si>
    <t>主管安排员工迟换洋开车带班组长胡成送程天峰去医院检查，在途中快到医院转弯处（绿灯），路人开着电瓶车速度很快闯红灯，员工迟换洋反应不过来导致撞上，</t>
  </si>
  <si>
    <t>/</t>
  </si>
  <si>
    <t>程天峰</t>
  </si>
  <si>
    <t>前台卸车员——迟换洋（1329952）出港装车员工（程天峰）装车过程中不甚被快件砸到脚</t>
  </si>
  <si>
    <t>邱晓丹</t>
  </si>
  <si>
    <t>深圳转运中心</t>
  </si>
  <si>
    <t>前台矩阵驳货12班员工邱晓丹，在10月29日20点46分于人工分拣区域垂直下直梯，在下直梯的过程中采取背靠楼梯的错误下楼梯方式，导致小腿磕碰线体产生挂伤。后续送去医院缝了八针，目前医生建议静养休息</t>
  </si>
  <si>
    <t>小腿</t>
  </si>
  <si>
    <t>胡海兰</t>
  </si>
  <si>
    <t>芜湖转运中心</t>
  </si>
  <si>
    <t>10月30日，芜湖转运中心员工胡海兰中午下班途中，因当时在下大雨，员工为避让路过的行人，导致本人骑车摔倒在地，员工去附近诊所检查，目前身体无骨折断裂情况，身体部分肌肉有拉伤</t>
  </si>
  <si>
    <t>体部分肌肉有拉伤</t>
  </si>
  <si>
    <t>殷云贵</t>
  </si>
  <si>
    <t>宁波转运中心</t>
  </si>
  <si>
    <t>2025年10月26日凌晨5:26殷云贵在进港二号库库区外走至排水沟低头玩手机未注意到排水沟有缝隙，导致踩空崴脚，员工坚持不去医院，休息两天后去医院检查右足第四拓骨远端骨折</t>
  </si>
  <si>
    <t>右足第四拓骨远端骨折</t>
  </si>
  <si>
    <t>张扎布</t>
  </si>
  <si>
    <t>合肥转运中心</t>
  </si>
  <si>
    <t>10月31日中午13:18在宿舍楼3楼楼梯旁员工张扎布突发疾病晕倒，宿舍管理第一时间拨打120并通知后勤负责人和中心安全员.</t>
  </si>
  <si>
    <t>疾病</t>
  </si>
  <si>
    <t>康勇</t>
  </si>
  <si>
    <t>2025年11月1日 晚上19:51分左右， 出港夜班细分拉件员工康勇（1359615）在矩阵22号线拉扫时因拉扫一个包件时扭伤导致胸2棘突骨骨质断裂。保守治疗中</t>
  </si>
  <si>
    <t>胸2棘突骨</t>
  </si>
  <si>
    <t>刘佳佳</t>
  </si>
  <si>
    <t>7.事故详细经过：2025/11/1 12:55分 异常件客服员工刘佳佳，正常办公时突然晕倒，同事将其送往公主岭第三人民医院，做了CT和验血等检查，员工一条腿无直觉，医院叫120将其送往长春市吉大一院治疗，做了核磁等检查，医生让其住院治疗。初步判断头部有血栓，后续诊断结果以及进展需要等待医生的诊断证明随时跟进。</t>
  </si>
  <si>
    <t>晕倒，初步判断头部有血栓</t>
  </si>
  <si>
    <t>金永升</t>
  </si>
  <si>
    <t>2025年11月2日20：37分，烟台员工金永升（工号：1333207），疏通装车货物时，肋骨碰到伸缩机导致受伤，经文登整骨烟台医院诊断为肋骨轻微骨折；</t>
  </si>
  <si>
    <t>SE1102P</t>
  </si>
  <si>
    <t>李丽芳</t>
  </si>
  <si>
    <t>2025年11月2号中午11点43分左右扫描操作时头晕倒。联系当天操作班长主管转运中心经理，联系120急救，永年区医院诊断为颅内出血，需做开颅手术，后转院至邯郸市医院抢救、治疗。</t>
  </si>
  <si>
    <t>颅内出血</t>
  </si>
  <si>
    <t>侯盛能</t>
  </si>
  <si>
    <t>2025年11月4日凌晨1点50分，侯盛能发现一票长形件卡在线体接口处（单号777353324633302），关停线体去试图拔拉出来时，割到右手食指，经核实该件是开刃镰刀（刀刃用纸皮包裹，外层用编织袋缠裹），意外发生后，现场管理立即送往医院检查，诊断为软组织损伤，未见骨折。</t>
  </si>
  <si>
    <t>右手食指</t>
  </si>
  <si>
    <t>SE4002Q</t>
  </si>
  <si>
    <t>骆快快</t>
  </si>
  <si>
    <t>【事件经过】进港B班 小件员工 ：骆快快，工号: 1088626，在上班的途中发生交通事故（野森林丰源三路）目前人员脸部受伤明显，其他部位待到医院检查，具体情况检查报告后跟踪</t>
  </si>
  <si>
    <t>李传伟</t>
  </si>
  <si>
    <t>2025年11月5日21：46，接出港操作主管通知，细分拉扫员工 李传伟（010150038、男），在矩阵驳货时，被线体上掉落的快件，不慎砸伤脚趾(员工自述为铁器，砸伤脚趾后滚落至下层线体，现场安排人员寻找）。已送徐州仁慈医院治疗。经了解左脚2趾骨折内固定，3趾切掉指甲盖大小，前期大概需要一万多，后期还有二次手术，目前没有病例尚不明确。</t>
  </si>
  <si>
    <t>左脚脚趾</t>
  </si>
  <si>
    <t>王贺</t>
  </si>
  <si>
    <t>2025年11月5日6点00分。中台拆包台员工王贺，自动化清场完，安排去省内末端帮忙清场，流水线货多堵拉，去帮忙疏通被流水夹了一下。诊断结果：手指损伤（右小指末端骨折），医生说休息两天，开了点药</t>
  </si>
  <si>
    <t>刘建军</t>
  </si>
  <si>
    <t>山西晋城转运中心</t>
  </si>
  <si>
    <t>平台员工刘建军于11月6日上班途中，在晋城208国道泊南村附近，自行骑车摔倒，导致胳膊骨折，脑袋摔伤，后前往晋城大医院进行治疗。
目前发生意外的原因不详，只是委派家属前往公司咨询是否有保险等情形，并未提到其他诉求，故先按照工伤进行报备。</t>
  </si>
  <si>
    <t>胳膊骨折，脑袋摔伤</t>
  </si>
  <si>
    <t>黄代庆</t>
  </si>
  <si>
    <t>前台卸车员工黄代庆，在19号卸货口卸货时，因快件770281857186056（管制刀具）破损戳穿环保袋，黄代庆左脚踩在环保袋上，导致左脚脚底割伤。</t>
  </si>
  <si>
    <t>脚底</t>
  </si>
  <si>
    <t>杨小波站立在伸缩机前端护栏平台内进行伸缩机回收操作过程中车辆突发驶离月台，导致人员被夹伤</t>
  </si>
  <si>
    <t>SE5001C</t>
  </si>
  <si>
    <t>张星举</t>
  </si>
  <si>
    <t>杭州转运中心</t>
  </si>
  <si>
    <t>《场外安全事件报告》：安全员-朱平2025.11.6日19:17报告
【事发中心】：杭州
【发生时间】：25.11.6日17点35分左右
【事件经过】：夜班员工  张星举(1249616)两夫妻在上班途中正常行走，被顺丰快递三轮车从后方撞到张星举发生交通事故，责任有待交警判定。
【视频材料】：无
【性质判断】：场外交通事故
【员工伤情】：已报警送医，伤情有待医院确定</t>
  </si>
  <si>
    <t>李爱芹</t>
  </si>
  <si>
    <t xml:space="preserve">员工李爱芹，因下雨路面较滑未能及时观察路面，导致装车摔倒，右侧小题肿胀，后第一时间送往合肥经开普仁外科医院就诊，初步诊断：右小腿比目鱼肌挫伤，小腿周围软组织肿胀
</t>
  </si>
  <si>
    <t>右侧小腿</t>
  </si>
  <si>
    <t>刘会</t>
  </si>
  <si>
    <t>11月7日9:14小件自动化供件岗位刘会在下供包台竖梯时，未遵守安全操作规范，采取背对竖梯的方式下行。行至中途直接跳下，导致崴脚受伤。医院诊断为，左足第5跖骨基底骨折，左足软组织挫伤。员工受伤后未第一时间向组长上报，返家后才发现受伤部位红肿，当晚前往医院拍片检查，于今日上午向主管正式汇报情况。</t>
  </si>
  <si>
    <t>汤成芳</t>
  </si>
  <si>
    <t>南京转运中心</t>
  </si>
  <si>
    <t>细分扫描员汤成芳（，女，54岁）在出港5号圈广州卡位工作中，从伸缩机前端通行，踩滑摔落月台下方受伤。</t>
  </si>
  <si>
    <t>徐成长</t>
  </si>
  <si>
    <t>《宁波员工轻微脑梗事件报告》宁波安全员-谭杨套25.11.7日15点38分报告
【事发中心】宁波
【事发时间】2025.11.7日  2点23分
【事发经过】自动化供件员工姓名——徐成长在进港三号库菜鸟二区2-14供件台供件，在岗位上呕吐报告给主管，未送医请假回去休息，下午神志不清送去医院检查出脑梗</t>
  </si>
  <si>
    <t>谢凯军</t>
  </si>
  <si>
    <t>据现场主管8：30分报告，11月8日1点左右，河北车队成都至邯郸线路浙GC8732驾驶员范祥金，在经停郑州中心卸货口靠位时，副驾驶谢凯军下车指挥，车辆与其发生碰撞，副驾驶被挤压到旁边车辆上，具体原因、情况正在调查中，目前受伤人员（副驾驶谢凯军）肺挫伤，已进行手术。</t>
  </si>
  <si>
    <t>游芬芬</t>
  </si>
  <si>
    <t>2025年11月10日7点21分左右申通快递有限公司大连分公司员工游芬芬在工作期间，因快件堵塞去清理快件时，被传送带夹伤，导致右小指软组织脱套伤，右环指软组织挫裂伤，右环指远节指骨骨折，现需要住院治疗，医生建议右小指需要做制皮手术.</t>
  </si>
  <si>
    <t>右手45手中外伤</t>
  </si>
  <si>
    <t>王迪</t>
  </si>
  <si>
    <t>该员工今早5:12分左右，在车厢里卸货时，不慎手指被货物挤伤后，又坚持卸货一小时，因疼痛难忍后去医院就医，经诊断为右环指垂状指手部指伸肌腱损伤，该员工决定采取保守治疗夹板固定</t>
  </si>
  <si>
    <t>右手小指</t>
  </si>
  <si>
    <t>耿卫青</t>
  </si>
  <si>
    <t>2025年11月11日耿卫青上班路上从竞秀区向阳大街自北向南骑电动车与自西向东的电动车相撞，耿卫青两个膝盖着地，左侧较严重CT检查骨头暂无问题，核磁已预约未检查，待检查后出具结果。事故发生后第一时间报警，交警到达现场后初步认定双方平责，暂未出具交通事故认定书。</t>
  </si>
  <si>
    <t>左腿膝盖</t>
  </si>
  <si>
    <t>程朋鹏</t>
  </si>
  <si>
    <t xml:space="preserve">2025 年11月11日02时14分在装车郑州流向装车时因有大包掉在伸缩机装车平台下导致伸缩机上下调节运行会压坏包件，员工下去挪包件时被包挂住脚摔倒在车厢里，磕到嘴上和胸部，现场管理紧急拨打120送往医院检查，经咸阳市第一人民医院诊断为多处挫伤，闭合性颅脑损伤轻型，胸部损伤。
</t>
  </si>
  <si>
    <t>闭合性颅脑损伤轻型 胸部损伤 牙齿摔断三颗</t>
  </si>
  <si>
    <t>高恒林</t>
  </si>
  <si>
    <t>【事件中心】：合肥转运中心
【姓        名】：高恒林
【身份证号】：340121197502287310
【入职时间】：2025-11-12 
【发生时间】：2025年11月12日20：09左右
【事件经过】：员工高恒林（1433008）在卸车卸包件过程中不慎被掉落的小件快递砸到脚部，有疼痛感，无明显外伤
【事件进展】:初步诊断左侧大脚趾骨折，需要固定休养，目前员工已请病假休养；</t>
  </si>
  <si>
    <t>左侧大脚趾</t>
  </si>
  <si>
    <t>段立春</t>
  </si>
  <si>
    <t>2025 年 11 月 12 日 08 时 23 分，b 班员工段立春（工号 1070991）在环线行走时不慎崴伤，事故发生后，主管胡贤忠（工号 1200304）第一时间协调资源，将段立春（工号 1070991）送往医院就诊，确保受伤员工得到及时救治。现员工已回家静养，两周后复查。</t>
  </si>
  <si>
    <t>漯河网点公司装卸工</t>
  </si>
  <si>
    <t>漯河转运中心</t>
  </si>
  <si>
    <t>该网点临时工刚上岗一个小时左右，在卸车过程中突发疾病，随后中心主管拨打120，120到达后随即对网点员工进行抢救，抢救时长约1小时，最后经抢救无效死亡。</t>
  </si>
  <si>
    <t>崔小武</t>
  </si>
  <si>
    <t>内蒙古</t>
  </si>
  <si>
    <t>进港扫描员崔小武在扫描包件时，由于货物重量过重导致右前胸脯上部疑似拉伤</t>
  </si>
  <si>
    <t>右前胸上部</t>
  </si>
  <si>
    <t>杨春艳</t>
  </si>
  <si>
    <t>长春转运中心</t>
  </si>
  <si>
    <t>吉林</t>
  </si>
  <si>
    <t>2025/11/14 20:17分 出港杨春艳在捡件时被掉落快件（衣物）砸到,导致头晕肩疼,随后出港主管董明带领员工杨春艳去往公主岭市第三医院检查,检查并无大碍</t>
  </si>
  <si>
    <t>龙小林</t>
  </si>
  <si>
    <t>上下班交通事故，员工目前在南充市高坪区人民医院就诊，为避免后期出现争议特此报备</t>
  </si>
  <si>
    <t>李季春</t>
  </si>
  <si>
    <t xml:space="preserve">  2025年11月15日合肥转运中心场外交通事故报告
【事件中心】：合肥转运中心
【发生时间】：2025年11月15日 21：45左右
【事件经过】：员工李季春（1432169）在倒包过程中，因为力竭，没有站稳摔跤，导致膝盖疼痛，随即员工自行前往肥西县中医院就诊，初步诊断膝关节受损，建议休息，目前已让员工病假休养。
【性质初判】：意外事故
【视频材料】：有视频</t>
  </si>
  <si>
    <t>SE2013Q</t>
  </si>
  <si>
    <t>黄二昌</t>
  </si>
  <si>
    <t xml:space="preserve">2025年11月17日晚上21点30分左右，员工黄二昌在进港苏州装车组平台上搬重型件时从平台摔落至脸部有外伤出血。当时班组长将其送至医院缝针后并无其他异常，就回家了。
</t>
  </si>
  <si>
    <t>胯骨、脸部</t>
  </si>
  <si>
    <t>肖林标</t>
  </si>
  <si>
    <t>［事发中心］金华
［发生时间］2025.11.17日21点47分
［事件简述］华东员工肖林标，带头盔装车过程中，脚踢快件，导致重心不稳，跌落在车厢，导致头部受伤流血，腰部暂时不能动，腿部没知觉，已叫车送往医院。
［员工伤情］头部流血，腰部受伤动不了，腿部没知觉。
［事件性质］员工违规操作，脚踢快件
［视频情况］已调取
［四不放过］监控严抓违规操作、冒险作业</t>
  </si>
  <si>
    <t>头部、腰部、腿部</t>
  </si>
  <si>
    <t>孙侠</t>
  </si>
  <si>
    <t>11月17日早上约7点30分 ，安徽阜阳转运中心后台7班班长徐志文太和位置分拣时砸到细分拉扫员 孙侠（1067919），造成孙侠左尺骨隐匿性骨折。目前金额较小，中心自行解决医药费用，如后续发生劳动争议，中心再提交其他相关流程。</t>
  </si>
  <si>
    <t>左尺骨</t>
  </si>
  <si>
    <t>武建珍</t>
  </si>
  <si>
    <t>11月17日下午15点，安徽阜阳转运中心细分拉扫员 王​平​诗 （1225512）在楼梯处玩闹拉扯细分拉扫员 武建珍（1291307），导致武建珍从楼梯跌落，造成右跖骨骨折，目前石膏托外固定，若后续骨折错位明显，可能有手术风险。
1、目前造成该事故员工愿意承担受伤员工的全部医疗费用；
2、若后续产生劳动争议，中心再提交其他相关流程。</t>
  </si>
  <si>
    <t>右跖骨</t>
  </si>
  <si>
    <t>廖玉香</t>
  </si>
  <si>
    <t>2025年11月17日16：25廖玉香上班路上，骑电动车停在路边，货车司机为避让行人撞到员工廖玉香，导致员工双下肢损伤（左小腿开放性损伤并骨折），入院后已进行1次手术，18号上午转院至柳州工人医院，后续还需手术治疗，现交警事故责任认定书未出。</t>
  </si>
  <si>
    <t>双下肢损伤（左小腿开放性损伤并骨折）</t>
  </si>
  <si>
    <t>柳顺华</t>
  </si>
  <si>
    <t>2025年11月18日凌晨1点零7分左右，员工柳顺华在操作工位上从事拆包倒包工作时，见右手边有一大包件货物掉落时去扶包裹，被码放在地面的包裹绊倒，站起时右膝盖疼痛难忍，后至江阴市中医骨伤医院急诊检查，结果为右髌骨骨折。现需住院手术治疗。</t>
  </si>
  <si>
    <t>右膝</t>
  </si>
  <si>
    <t>鲁小番</t>
  </si>
  <si>
    <t>2025年11月19日 4点53分左右 郑州转运中心出港夜班员工1200724鲁小番 在中心出港21号卸货矩阵工作时发现有快件掉落在矩阵滑槽防坠网上，为是去快递，违规从滑槽处向下通行清理，不慎摔倒后致使右脚发生骨折，目前已送郑大一附院南院区医院治疗。</t>
  </si>
  <si>
    <t>宣正长</t>
  </si>
  <si>
    <t xml:space="preserve">事件中心：合肥转运中心
员工姓名：宣正长（1303849）
性别：男
入职时间：2024-11-19
发生时间：2025年11月12日17:40左右
事件经过：员工宣正长（1303849）2025年11月15日17:40左右，在上班途中行驶至玉龙路上被汽车剐蹭，随即前往安徽中科庚玖医院
就诊，诊断右肩，髋部，腰部损伤，未见骨折，目前员工已病假休养
性质初判：交通事故
事件进展：待出具事故责任书
</t>
  </si>
  <si>
    <t>腰部，髋部，右肩</t>
  </si>
  <si>
    <t>牛军强</t>
  </si>
  <si>
    <t>该员工入职第一天，因睡不着自己去买了安眠的药物大概今日中午12点左右服用，傍晚17:30左右在宿舍因头晕倒下，额头划到卫生间门把手，伤口较深。送至医院CT检查后，脑部无其他问题，主要为服用安眠药引发的头晕，额头外伤需缝合。</t>
  </si>
  <si>
    <t>额头</t>
  </si>
  <si>
    <t>杨安</t>
  </si>
  <si>
    <t>2025年11月20日早晨6点25分左右，该员工在操作工位上翻面单拉快递包裹时，因左脚突然扭到失去平衡导致员工摔倒在地，现场发现后已送到医院检查
［员工伤情］左膝髌骨脱位（左侧）</t>
  </si>
  <si>
    <t>左侧髌骨</t>
  </si>
  <si>
    <t>陈世威
朱秋苑</t>
  </si>
  <si>
    <t>2025年11月21日早上7点17分，员工陈世威搭乘员工朱秋苑返回住处时，在广州市增城区宁西街道被私家车撞倒后立即报警送往医院，陈世威诊断为脚裸受伤，朱秋苑诊断为肺部挫伤，目前交通责任认定肇事司机负全部责任，员工陈世威、朱秋苑无责</t>
  </si>
  <si>
    <t>脚裸</t>
  </si>
  <si>
    <t>黄山河</t>
  </si>
  <si>
    <t>黄山河（1340281）2025年11月22日6：52时，在上班途中被车撞到，随后报警处理并送至医院。检查报告显示左手第4指与第5指骨折需手术处理。</t>
  </si>
  <si>
    <t>尤守兵</t>
  </si>
  <si>
    <t>2025年11月22日凌晨05点46分左右，员工尤守兵在大货区（异形件班组）操作，抱取大件时从车厢踏空摔落至地面，胸部受到挤压，造成左胸第7,8,9根肋骨骨折。经长寿医院诊断，目前无需手术，但需打绷带固定，休养一段时间。</t>
  </si>
  <si>
    <t>胸部</t>
  </si>
  <si>
    <t>SE9007C</t>
  </si>
  <si>
    <t>李春燕</t>
  </si>
  <si>
    <t>李春燕与于2024年03月15日入职，第三方平台员工，中班中台供件员李春燕在货物堵塞时自作主张爬上供件台疏通货物，结果不慎从供件台跌落，胸部撞到护栏，经送诊后医生诊断为胸部损伤、腹部损伤和右侧第4前肋不全性骨折，建休3天。</t>
  </si>
  <si>
    <t>腹部和右侧肋骨</t>
  </si>
  <si>
    <t>刘万秀</t>
  </si>
  <si>
    <t>【事件中心】：合肥转运中心
【发生时间】：2025年11月24日03：45左右
【事件经过】：员工刘万秀（1363474）在操作平台拣货时，一时失神导致摔跤
【性质初判】：事后员工自行前往肥西县中医院就诊，初步诊断左膝部内侧局部血肿胀韧带损伤，压痛阳性，活动受限，外伤症状，未见明显骨折
【事件进展】:目前员工病假休养</t>
  </si>
  <si>
    <t>左膝</t>
  </si>
  <si>
    <t>陈铭鑫</t>
  </si>
  <si>
    <t>揭阳转运中心</t>
  </si>
  <si>
    <t>2025年11月24日，揭阳转运中心发生1起意外摔伤事故，15点17分进港破损处理员陈铭鑫在平台边缘准备移动手推车时，由于自身过于靠近平台边缘，脚下未站稳从平台上摔落至平台下方，导致手腕骨折。</t>
  </si>
  <si>
    <t>肖曙光</t>
  </si>
  <si>
    <t>11月25日，员工肖曙光在出港96号济南卡位车厢外伸手拿货，右手碰到伸缩机的滚筒右侧皮带铁块，导致手指开放性损伤，局部缺陷。</t>
  </si>
  <si>
    <t>右手手指</t>
  </si>
  <si>
    <t>SE9002C</t>
  </si>
  <si>
    <t>孙保红</t>
  </si>
  <si>
    <t>2025年11月25日23点35分左右，孙保红在落货物的时候，荆门换车装武昌的货物，需要将货物摆在输送带上，按了传送带的启动键，没站稳被货物挤压，摔倒在平台下面。第一时间送至蚌埠市第三人民医院上和分院，后转至蚌埠医科大学第二附属医院，初步诊断为左桡骨远端骨折，左尺骨茎突骨折，颅骨骨折可能。</t>
  </si>
  <si>
    <t>左桡骨远端骨折
左尺骨茎突骨折
颅骨骨折可能。</t>
  </si>
  <si>
    <t>梁浒</t>
  </si>
  <si>
    <t>2025年11月25日17点57分，广州中心白班机修梁浒在42号卸货口矩阵更换滚筒时，被滑滚筒脱落砸到左手尾指，导致左手尾指尾部断开，后中心由安全员送往南方医院增城分院进行诊治，但是由于伤势较重被建议转院到顺德和平外科医院（私立医院），医院初步诊断为左小指末节撕脱完全离断伤伴指骨开放性骨折</t>
  </si>
  <si>
    <t>左尾指</t>
  </si>
  <si>
    <t>张晓生</t>
  </si>
  <si>
    <t>【事发时间】25.11.25日凌晨1:50分
出港江浙皖卸货组员工张晓生，停机去食堂吃饭走到一期32号卡位人行道上突然倒地昏迷，紧急叫120送中山医院。
【医院检查】医院抢救至2：48 宣布心脏停止跳动。宣布死亡。</t>
  </si>
  <si>
    <t>崔店清</t>
  </si>
  <si>
    <t>姓名：崔店清 
性别：男 
年龄：49岁 
入职时间：2025-10-30
合同主体：九江市崇江数字科技有限公司
受伤经过：
2025年11月26日03:37左右，崔店清在操作回流作业的时候，未抓紧快件导致快件失手脱落，砸伤左脚。初步诊断为左踇趾趾骨骨折，需要固定休养。
目前情况：
目前员工离职单已签，病假休养中。</t>
  </si>
  <si>
    <t>郑生海</t>
  </si>
  <si>
    <t>上海浦东转运中心</t>
  </si>
  <si>
    <t>2025 年 11 月 26 日凌晨 3：57 左右，在浦东中转运中心进港 3 号库进B1F卸车口码头车厢-13，浦东中心员工郑生海在进行卸车时，重心不稳，右脚踩空导致摔伤。当时班长进行伤口消毒，并安排休息，白天上午休息的时候发现左臂疼痛，到医院进行检查发现骨折、骨裂。</t>
  </si>
  <si>
    <t>左臂</t>
  </si>
  <si>
    <t>SE2006P</t>
  </si>
  <si>
    <t>唐小燕</t>
  </si>
  <si>
    <t>目前员工在南充市高坪区人民医院就医，为避免后期出现争议风险，特此报备。
11月26日上6点20，自动化集包员唐小燕在上班途中发生交通事故，导致桡骨头骨折、肱骨头骨折；交通事故责任认定已出，唐小燕无责。具体事项详见附件诊断证明</t>
  </si>
  <si>
    <t>孟清梅</t>
  </si>
  <si>
    <t>员工去卫生间期间晕倒在厕所经员工发现报120送至内蒙古自治区人民医院救治，经医院拍摄CT、核磁共振等结果判定为血糖偏低。无其他重大病患，仅作备案。</t>
  </si>
  <si>
    <t>盛永建</t>
  </si>
  <si>
    <t>盛永建（工号 1291402），身份为武汉转运中心支援武昌转运中心员工。 2025年11月28日 13:02，在武昌转运中心食堂用餐，打汤时因汤桶旁有水渍导致其滑倒摔跤。造成胸部受伤，诊断结果为右侧第6、7前肋骨折。建议休息1月后复查。（已沟通食堂责任，并承担费用）。</t>
  </si>
  <si>
    <t>黄彦斌</t>
  </si>
  <si>
    <t>网店-东莞市桥头镇桥头站</t>
  </si>
  <si>
    <t>东莞桥头站Z快递员在路口转弯处操作不当撞了停在路边的车辆，导致车辆受损</t>
  </si>
  <si>
    <t>汪铃丽</t>
  </si>
  <si>
    <t xml:space="preserve">姓名：汪铃丽（1334453） 
性别：女 
出生日期:2002-05-19 
入职时间：2025-04-18
合同主体：九江市崇江数字科技有限公司
受伤经过：
2025年11月29日18:10:00左右，员工汪铃丽下班骑车因遇对向突然变道，导致两辆车碰撞，随即前往安徽医科大学第一附属医院就诊，诊断结果为右侧内踝局部骨皮质裂，踝关节软组织肿胀；目前员工已病假休养	</t>
  </si>
  <si>
    <t>吕维友</t>
  </si>
  <si>
    <t>昆明转运中心</t>
  </si>
  <si>
    <t>11月30日晚上7:00左右，云南省区昆明转运中心员工吕维友，工号 1169572，下班途中在步行通过昆明市官渡区空港大道与云水街交汇处红绿灯口斑马线时被过往车辆撞伤，事故发生后被送医院接受检查，检查结果为“左胫骨远端骨折”。最终昆明市交通管理支队道路交通九大队下达《道路交通事故认定书》，员工吕维友无责，由货车司机承担全部责任。</t>
  </si>
  <si>
    <t>张凤连</t>
  </si>
  <si>
    <t>2025年12月1日6：40分许，徐州转运中心进港自动化集包员工张凤连（女）在接包封口时，右手使用自行采买制作的铁钩钩取拉链时，铁钩滑脱在惯性作用下划伤右眼，随即现场管理将员工送往医院治疗。经诊断1、右眼球穿通伤；2、右虹膜根部离断；3、右前房积血；4、右角膜穿通伤。目前费用无法预估，医生反馈得手术结束才能看出来具体伤情。</t>
  </si>
  <si>
    <t>右眼</t>
  </si>
  <si>
    <t>孙文金</t>
  </si>
  <si>
    <t>2025年12月02日晚上23:26:58，出港一楼外围卸货口班组员工孙文金，在35号码头卸货时拉包用力过猛，下盘重心不稳摔倒在车厢后门框上，导致右腰部受伤。经上海医大医院诊断：右侧髂骨翼骨折，附近软组织肿胀，医院建议住院治疗。</t>
  </si>
  <si>
    <t>右腰部</t>
  </si>
  <si>
    <t>SE2012C</t>
  </si>
  <si>
    <t>卢贤忠 刘爱萍</t>
  </si>
  <si>
    <t>2025年12月4日12:15，公司员工卢贤忠、刘爱萍夫妇结束休假（12月1日-3日）返厂上班。二人在抵达公司安放行李后，前往闵集镇取快递。返程途经公司附近十字路口时，遭遇鄂WM7299号牌面包车碰撞，发生交通事故。</t>
  </si>
  <si>
    <t>左侧第4、5、6肋骨骨折</t>
  </si>
  <si>
    <t>李二娟 李灯辉</t>
  </si>
  <si>
    <t>2025年12月4日，员工李灯辉、李二娟在中午12:30停机时间回家吃饭，于13:30二人共同骑行一辆二轮电车从家返厂，在阳山路与黄河路附近，与同向行使的大车发生碰撞、摔倒，李灯辉头部、肩部受伤在医院进行拍片检查，轻微受伤。李二娟腿部被大车碾压、盆骨及腿部多处骨折，右腿较严重，目前在重症监护室接受手术（医生告知会有截肢和生命危险），交通事故报告等待事故科</t>
  </si>
  <si>
    <t>覃红梅</t>
  </si>
  <si>
    <t>12月5日上午6点38分侧滑供件员工覃红梅上班途中，行驶至物流大道金河路口时被肇事人吕朋玲电瓶车追尾导致跖骨骨折，断端错位，交警责任认定书已出，覃红梅无责，吕朋玲为主要责任。目前在南充市高坪区人民医院住院治疗，为避免后期出现争议风险，特此报备。</t>
  </si>
  <si>
    <t>脚趾</t>
  </si>
  <si>
    <t>杨逊隆</t>
  </si>
  <si>
    <t>2025年月12月5日晚上20点20分左右，杨逊隆骑摩托车下班回家的路上
在揭西县五经富附近路段发生了车祸(杨逊隆有驾驶证有带头盔)，交警送到揭西
县中医院急诊。（目前员工意识不清晰，事故详细经过需等星期一交通部门上班
调取监控出示现场事故责任书判定）。员工由于手机摔坏了，到6号员工家属才
与中心班长取得联系。</t>
  </si>
  <si>
    <t>左侧上颌窦上壁骨折，鼻窦粘膜水肿，左侧上颌窦窦腔积液、积血</t>
  </si>
  <si>
    <t>赵金永</t>
  </si>
  <si>
    <t>赵金永于12月6日凌晨3:24急于处理堵包时摔倒，右脚扭伤。班长建议就医，但赵金永认为伤势不严重，继续工作，正常下班后回家休息。下午17点左右发现脚踝肿胀疼痛，就医检查诊断为右踝关节撕脱性骨折，医生建议支架固定治疗，休息4至6周，一周后复查。</t>
  </si>
  <si>
    <t>右踝外关节</t>
  </si>
  <si>
    <t>赵劲波</t>
  </si>
  <si>
    <t>2025年12月06日  9:35左右，员工赵劲波在卸车作业时拖拽中间货物导致上方货物掉落，员工为躲避货物脚滑踩空摔下流水线，后送往晋江磁灶仁泽综合门诊部就诊，医生诊断为左桡骨远端骨折，头面部及鼻部软组织挫伤。</t>
  </si>
  <si>
    <t>SE3002P</t>
  </si>
  <si>
    <t>经和当事人初步了解事情经过:
NC晚班侧滑供件员廖志敏（住横栏培球副食店附近）12月7号下午开摩托车上班途中，17:40分左右行驶到永兴北路时与电动车发生交通事故。
员工伤情:左侧锁骨肩峰端骨折，左侧第3-8前肋不全性骨折。
责任归属:交警方需要到10号才能出具交通事故责任认定书。</t>
  </si>
  <si>
    <t>左侧锁骨肩峰端骨折、.左侧第3-8前肋不全性骨折</t>
  </si>
  <si>
    <t>王翠平</t>
  </si>
  <si>
    <t>2025年 12月7日，进港员工王翠平在进港87号卡位流水线连接处捡件拉包时，手指伸到过度条中间位置，左手第四根手指被夹到，造成局部缺陷。</t>
  </si>
  <si>
    <t>左手第四根手指</t>
  </si>
  <si>
    <t>饶兴平</t>
  </si>
  <si>
    <t>2025 年 12 月 07 日 00 时 34 分，a班员工饶兴平（工号 1377085）在扫描时不慎将手腕拉伤，事故发生后，班组长李乐勇（工号 1134947）第一时间协调资源，将饶兴平（工号 1377085）送往医院就诊，确保受伤员工得到及时救治。员工救治及时，十天后拆石膏后复查，预计静养一个月后可康复回来上班。</t>
  </si>
  <si>
    <t>右手手腕手臂处</t>
  </si>
  <si>
    <t>谷学威</t>
  </si>
  <si>
    <t xml:space="preserve">2025年12月8日17时26分，（出港晚班D002&amp;进港晚班B002：18:30 - 06:30）员工谷学威（工号：1332354）上班途中发生交通事故，经判定对方全责；员工肋骨轻微骨折，医疗费用由肇事方进行承担，特进行工伤报备；
</t>
  </si>
  <si>
    <t>梁闯</t>
  </si>
  <si>
    <t>梁闯（男，24岁）停机清场过程中，行走皮带线注意力不集中踩空摔倒在交叉线体上。12.10员工自认为只是扭伤、休息2晚可恢复。12.14下午发现脚肿厉害，员工去医院检查。</t>
  </si>
  <si>
    <t>SE2005P</t>
  </si>
  <si>
    <t>王艳微</t>
  </si>
  <si>
    <t>2025年12月11日06点16分进港B班员工王艳微在下楼梯打水去时，不慎踏空台阶摔倒，造成右脚受伤，经初步诊断为右外踝轻微骨折。</t>
  </si>
  <si>
    <t>右外踝骨折</t>
  </si>
  <si>
    <t>程平平</t>
  </si>
  <si>
    <t>2025 年 12 月 11 日 15 时 20分，因上一个中心（荆门中心）装车不规范导致货物突然坍塌将正在回收伸缩机的b班员工程平平（工号 1435437）砸伤，事故发生后，班组长彭世勋（工号 1335017）第一时间协调资源，将程平平（工号 1435437）送往医院就诊，确保受伤员工得到及时救治。</t>
  </si>
  <si>
    <t>右胸第5前肋骨折，右肺挫伤</t>
  </si>
  <si>
    <t>陈奕明</t>
  </si>
  <si>
    <t>2025年12月11日早上6点32分，中心员工陈亦明（工号1342001）违规上螺旋滑槽捡破损件时，脚下打滑导致摔倒致滑槽边缘。</t>
  </si>
  <si>
    <t>左侧第5-8前肋及第9-11后肋骨折、左侧少量气胸、左肺下叶后基底段少许肺挫</t>
  </si>
  <si>
    <t>王天彪</t>
  </si>
  <si>
    <t>2025年12月11日2:56分，员工王天彪在上班期间觉身体不适，自行前往吸烟区旁休息。3:16分，王天彪在吸烟区旁晕倒。就近的员工发现后，立即通知了班长及员工家属并立即拨打120急救电话，3:44分急救车将王天彪送往医院，暂无生命危险。</t>
  </si>
  <si>
    <t>自身疾病</t>
  </si>
  <si>
    <t>翟春华</t>
  </si>
  <si>
    <t>进港员工翟春华，卸货至最后1M时，被重货-”洗衣液箱“砸到左侧后背部当场跪地。</t>
  </si>
  <si>
    <t>左侧肋骨</t>
  </si>
  <si>
    <t>李金富</t>
  </si>
  <si>
    <t>2025年12月12日6时08分左右晋城转运中心李金富疑似被绳子绊倒摔在地上，当时正值下班时间他以为没事就下班回家了，当天员工回到家后疼痛难忍去医院进行检查，第二天12月13日中午13时30分左右员工打电话向中心班长进行报备事情。安全员得知此事后，受大雪天气影响未第一时间前往医院核实此事件，于12月14日去泽州县人民医院实地了解情况后进行报备。故导致时间报备延迟</t>
  </si>
  <si>
    <t>膝盖骨骨折</t>
  </si>
  <si>
    <t>王慧</t>
  </si>
  <si>
    <t>2025年12月12日下午17点左右现场操作二楼北侧转弯机旁，人工小件集包员工王慧，在抱环保袋途径北侧转弯机旁时，未注意脚下凸起的20mm高的钢盖板，随即被钢盖板绊倒，当天员工未在意，2025年12月13日员工脚部有点肿胀、疼痛去医院检查。经诊断为左髌骨骨折，膝关节前十字韧带损伤，膝半月板撕裂。2025年12月14日员工因提交病假休养才上报班长。后续可能微创手术治疗。</t>
  </si>
  <si>
    <t>左膝盖</t>
  </si>
  <si>
    <t>姜丹</t>
  </si>
  <si>
    <t>2025/12/12 07.26分 进港员工姜丹(39岁），于现场三号线操作时突然晕倒。中心立即拨打120电话急救。人员现已苏醒，除眩晕外暂无异常症状，医生建议采取保守治疗</t>
  </si>
  <si>
    <t>无外伤</t>
  </si>
  <si>
    <t>靳建新</t>
  </si>
  <si>
    <t>在2025年12月14号18点50分左右在矩阵清场时绊倒撞到胸口，一开始没感觉，后面疼痛加剧，自行去福建省福能集团总医院检查，检查结果为左第9前肋骨骨折</t>
  </si>
  <si>
    <t>丁鹏</t>
  </si>
  <si>
    <t>太原转运中心卸货口员工丁鹏于2025年12月14日19.30左右卸车时，未发现加班车翘边铁皮，不慎磕到眼睛，当日带去阳曲县人民医院检查，说没什么问题开消炎药回去休息，12月15日员工因感觉不舒服请假去山西省眼科医院检查，眼科医院告知内部破裂，需做手术缝合，特此报备。</t>
  </si>
  <si>
    <t>冯利</t>
  </si>
  <si>
    <t>2025年12月15日17:45分，机修员工冯立在1号库进港矩阵30号线更换皮带钢丝时，因个人操作不当，在剪切钢丝过程中，被弹起的小段钢丝扎伤眼部。伤者已紧急送医。</t>
  </si>
  <si>
    <t>SE9004C/Q</t>
  </si>
  <si>
    <t>陈光贵</t>
  </si>
  <si>
    <t>2025 年 12 月 16 日 00 时 56 分，员工陈光贵（1343093）在装车扫描时因发现快件错分后急于不慎踩空，撞至伸缩机支架处当时无痛感，继续工作至2025年12月16日7点下班，16日15时工作至19时发现患处疼痛难忍并告知当班班长，班长林先星（1211164）立即叫人带去医院检查，检查后发现右侧第7/8肋骨骨折，右侧第5-6、9肋局部骨质欠规整（骨裂）</t>
  </si>
  <si>
    <t>右侧肋骨多处骨折</t>
  </si>
  <si>
    <t>邹少勇</t>
  </si>
  <si>
    <t>平台员工邹少勇（工号：1219943）在卸货过程中，被高处快件砸到面部，事发后立即送至掇刀人民医院治疗，诊断结果为眼球穿通伤，目前入院治疗，进行了缝合治疗，后续观察恢复情况，特此报备。</t>
  </si>
  <si>
    <t>面部 眼部</t>
  </si>
  <si>
    <t>刘元学</t>
  </si>
  <si>
    <t>2025年12月17号11：51：48；一楼进港卸货口21号和22号DWS中间员工刘元学（1313631）在打扫卫生（用吹风机吹灰尘、垃圾）过程中被破损处理员彭巧丽（1358228）清理破损快件（抛扔快件）砸伤左眼角，当时当班班组长觉得不严重未上报，让员工自行去医院检查结果为眼挫伤，结膜撕裂伤</t>
  </si>
  <si>
    <t>SE3006C</t>
  </si>
  <si>
    <t>个人（违规人）</t>
  </si>
  <si>
    <t>600.00</t>
  </si>
  <si>
    <t>郝子扬</t>
  </si>
  <si>
    <t xml:space="preserve">细分回流处理员郝子杨，在将楼下回流件运送至二楼出港交件的过程中，未按要求将货物交付至月台、由装车人员统一放置到伸缩机。他还采取了危险的操作方式，以双手攀附伸缩机的动作借力下跃。在这一违规操作过程中，其手指不慎触碰传送带限位器，手部随即被设备卡住；在重力作用下他强行拽拉手部，导致手指损伤。
【事故性质】违规操作（应当交货于月台，由装车人员再行放置伸缩机）本次事故的发生，完全是由郝子杨个人违规作业、不当操作所致。
</t>
  </si>
  <si>
    <t>右手中指</t>
  </si>
  <si>
    <t>25000.00</t>
  </si>
  <si>
    <t>毛玉龙</t>
  </si>
  <si>
    <t>2025年12月19日晚上22点21分左右，增城转运中心细分拉件员毛玉龙（1434754）在园区便利店返回途中，路过菜鸟网络园区大门（南门）口时被行驶进大门的小轿车（粤H12D78）撞倒，由于车速过快员工被撞后随车两三米后，因司机紧急刹车导致员工受惯性作用二次伤害。</t>
  </si>
  <si>
    <t>邓诗龙</t>
  </si>
  <si>
    <t>广州转运中心</t>
  </si>
  <si>
    <t>2025年12月19日下午19:47分左右，晚班卸货员邓诗龙1364435在26号卸货口帮忙包破损放货的时候左手大拇指不慎被卷进滚筒导致左手大拇指断开，目前在医院检查治疗中</t>
  </si>
  <si>
    <t>左手大拇指断开</t>
  </si>
  <si>
    <t>张力强</t>
  </si>
  <si>
    <t>沈阳转运中心</t>
  </si>
  <si>
    <t>12月19日17:04分员工张力强工号1154273，在骑电动三轮车正常行驶中（佩戴安全帽）由于路面湿滑导致车轮打滑，三轮车滑至到车厢下方，三轮车前挡风玻璃碎裂，玻璃碎片飞溅导致该员工左侧眼皮受伤</t>
  </si>
  <si>
    <t>李会军</t>
  </si>
  <si>
    <t>晋城转运中心</t>
  </si>
  <si>
    <t>2025年12月20日，晋城转运中心发生一起注意力不集中事故。2025年12月20日，中心元工李会军。工号（1303643）在卸车作业时被包裹砸到头部，摔倒磕碰到伸缩机上导致腿部受伤，由于正常佩戴安全头盔头部未受到伤害，发生事故后第一时间送往晋城市大医院进行治疗</t>
  </si>
  <si>
    <t>程浩东</t>
  </si>
  <si>
    <t>蚌埠转运中心</t>
  </si>
  <si>
    <t>员工程浩东凌晨上班路上骑车摔倒，但是未给班组长说，工作期间发现身体不适，凌晨三点钟去医院检查，现在检查结果出来了（检查报告放在事故伤者报告,无明显骨折），没什么问题，但是员工自述胸口还是有点不适，医生建议休息一周，如没有好转要进一步检查。</t>
  </si>
  <si>
    <t>张金根</t>
  </si>
  <si>
    <t>2025年12月9日晚23:30操作员工张金根在出港操作结束进行清场过程中，发现矩阵区域有快递包件遗留。为避免快递包件长时间遗留在中心，该员工未佩戴中心已配发的安全帽就往该矩阵区域下进行操作，从而导致头顶部发生磕伤，员工已去医院进行伤口清创缝合处理，CT检查未见其他异常，一周后随诊复查。</t>
  </si>
  <si>
    <t>时间</t>
  </si>
  <si>
    <t>省公司</t>
  </si>
  <si>
    <t>中心名称</t>
  </si>
  <si>
    <t>事故类型</t>
  </si>
  <si>
    <t>事故原因</t>
  </si>
  <si>
    <t>事故当事人</t>
  </si>
  <si>
    <t>事故简述</t>
  </si>
  <si>
    <t>上报人</t>
  </si>
  <si>
    <t>事故责任</t>
  </si>
  <si>
    <t>停工天数</t>
  </si>
  <si>
    <t>事故损失</t>
  </si>
  <si>
    <t>是否纳入安全考核</t>
  </si>
  <si>
    <t>交通事故</t>
  </si>
  <si>
    <t>场外</t>
  </si>
  <si>
    <t>2024年1月4日 18:10许，上海省公司客服管理部员工石莉华下班回家，骑电瓶车行至赵重公路/北青公路（重固加油站）位置，和一电瓶车发生碰撞事故。事故造成石莉华膝盖受伤，目前正在医院检查治疗。据石莉华描述已经报警，事故是对方责任。详细情况待警方证明和医院诊断报告为准。</t>
  </si>
  <si>
    <t>徐小兵</t>
  </si>
  <si>
    <t>意外事故/无责任</t>
  </si>
  <si>
    <t>夜班员工杨雪梅（佩戴头盔）骑电动车带王晓静下班回家正常骑行时与逆行过来的电动三轮车相撞，据杨雪梅描述相撞前已看到对方车辆试图躲避多次躲避后还是相撞，后报警处理，因对方逆行交警判对方全责，医院出具诊断结果俩人均为肌肉损伤及皮外伤。</t>
  </si>
  <si>
    <t>卜海鹏</t>
  </si>
  <si>
    <t>中山转运中心</t>
  </si>
  <si>
    <t>治安事件</t>
  </si>
  <si>
    <t>下班后，在离转运中心正门约200米处（保安视线范围外），两当事人发生口角，随后李勇文将黄柠华推倒到草地拿起石头砸其头部，整个过程持续近一分钟；7:41分员工路过通知晚班主管王剑康，王剑康马上赶往现场，并要求保安封锁现场拨打120、报警等，随后通知中心经理、人资、安全马上赶往现场，120到现场后确认，黄柠华当场死亡。</t>
  </si>
  <si>
    <t>李振楠</t>
  </si>
  <si>
    <t>刑事案件</t>
  </si>
  <si>
    <t>人伤事故</t>
  </si>
  <si>
    <t>夹伤</t>
  </si>
  <si>
    <t>2024年1月14日10:35中班前台卸货员唐晓端，工号（1162695）由于一个箱子面单未朝上，在卸货口翻面单时，手随着包裹而动，小拇指不慎卷入伸缩机与皮带交接口，他立即拔出，导致小拇指末端指甲和肉脱离，现场管理第一时间将其送往南方医院治疗并上报经理</t>
  </si>
  <si>
    <t>个人责任事故</t>
  </si>
  <si>
    <t>缺少安全警示标识</t>
  </si>
  <si>
    <t>江阴转运中心</t>
  </si>
  <si>
    <t>意外事故</t>
  </si>
  <si>
    <t>突发疾病</t>
  </si>
  <si>
    <t>2024年1月15日晚上04:33分，江阴转运中心员工谢良敏，在车间西北角位置（出港装货阜阳线）下扶梯打扫卫生时，突然身体不适（疑似癫痫），头晕开始原地转圈，不慎跌倒。随后滚落月台，导致肩膀骨折。</t>
  </si>
  <si>
    <t>卢桂龙</t>
  </si>
  <si>
    <t>成都转运中心</t>
  </si>
  <si>
    <t>2024年1月16日早上员工张龙成在走路下班途中（不明原因）倒在简阳石桥够夫人羊肉汤店附近，路人发现并根据员工工牌拨打我司杨文军班长电话同时拨打120送往简阳中医院，在1月16日上午在简阳市中医院进行手术抢救（脑出血开颅手术）至今人员尚未苏醒。</t>
  </si>
  <si>
    <t>李月阳</t>
  </si>
  <si>
    <t>太原转运中心</t>
  </si>
  <si>
    <t>摔伤</t>
  </si>
  <si>
    <t>该员工于1月15日下午17:41分左右，在申通快递有限公司太原分公司食堂后厨因工作需要去检查工作时，因食堂做饭期间，地面有水较滑而摔倒，导致左脚部大拇指受伤，随后前往太原市第二人员医院，被诊断为左足酶趾末节趾骨骨折。</t>
  </si>
  <si>
    <t>席根慧</t>
  </si>
  <si>
    <t>管理责任事故</t>
  </si>
  <si>
    <t>场地原因</t>
  </si>
  <si>
    <t>龙华集散中心</t>
  </si>
  <si>
    <t>撞伤</t>
  </si>
  <si>
    <t>事故详细经过：员工在拉包时发现有货物包件重叠，在取上层包件时，用力过猛，右手脱手，致使右手中指撞像上层流水线支撑柱焊接处，造成右手中指手筋划伤。</t>
  </si>
  <si>
    <t>南充转运中心</t>
  </si>
  <si>
    <t>员工下班后回家，骑电瓶车直走路过路口，因小车倒车，惊吓导致摔倒</t>
  </si>
  <si>
    <t>夜班二楼自动化员工胡明贵、刘素莲在下班途中骑行电动摩托车在简阳市石桥人民法院周边被逆行轿车撞伤，人员受伤第一时间拨打120送往简阳市人民医院</t>
  </si>
  <si>
    <t>7. 2024年1月23日休息，2024年1月24日6点半上班，6点40-50在车间女厕所晕倒，早上9点半左右同步至人资，人资建议拍片检查，下午16：:30点同步至安全员处，17:00员工拿着医生诊断到人资，门牙卡掉（一颗缺失一半，另外一个松动，医院拍片诊断，神经受损，牙折，晕倒原因：疲劳过度）厕所没有监控，无现场视频。</t>
  </si>
  <si>
    <t>杨贺</t>
  </si>
  <si>
    <t>石家庄转运中心</t>
  </si>
  <si>
    <t>2024年1月27日00:30下班吃饭时间，装车16班班长杜炳辛驾驶私家车，搭载装车19班员工闫彩茹、装车15班员工闫紫珊三人由南向北行驶至和谐街与南车路交叉口处与由东向西行驶的水泥罐车发生碰撞。 一死二伤。</t>
  </si>
  <si>
    <t>贵阳转运中心</t>
  </si>
  <si>
    <t>2024年1月27日晚21时15分，员工杨德虎在出港上班期间，外出抽烟在返岗途中，因场地外在下雨，返岗途中踩到积水不慎摔倒，摔倒后头部撞至楼梯踏步棱角处造成此次事故的发生，事故发生后该员工意识清醒，立即到卫生间查看受伤情况，并立即上报当班主管代宏杰，主管到现场了解情况后立即开车送杨德虎至龙里县人民医院进行检查处理，后医院诊断结果为：
1.额部皮下软组织稍肿胀，颅脑CT平扫未见明显脑挫伤及骨折征象，请结合临床，必要时复查；
2.颈椎退行性变，颈椎CT平扫未见明显骨折征象，请结合临床，必要时复查。</t>
  </si>
  <si>
    <t>黄锦</t>
  </si>
  <si>
    <t>砸伤</t>
  </si>
  <si>
    <t>2024年1月29日早晨7点55分，揭阳进港潮阳线平台底下堵件，员工（吴沛锐）下去帮忙疏通，在疏通过程中未能辨识出上方货物掉落风险，导致上方货物掉下砸到头部，现场管理员杨安乐开车送员工到揭东区妇幼保健院进行检查，检查结果为头皮裂伤，保健院出示的诊疗意见是住院治疗。</t>
  </si>
  <si>
    <t>哈尔滨转运中心</t>
  </si>
  <si>
    <t>2024年1月31日，因供包台员工上报供包台出现问题，进港白班交叉带班长张国春， 在进入供包台下跨梯时左侧肋骨杠到栏杆上， 因疼痛，中心第一时间送到平房区二四二医院进行检查，拍片确诊为胸壁搓伤，</t>
  </si>
  <si>
    <t>2024年2月2日13:30中班自动化供件员康春红（工号：1171392）下故班骑电动车在新耀北路33号撞上路边停放的货车，因为当班班长离职，
概员工并未及时上报，自己报警后到医院就医，诊断结果为唇部、牙齿损
述
伤，交通事故责任认定书已出，员工负主要责任，司机负次要责任</t>
  </si>
  <si>
    <t>2024年2月17日21点43分操作主管毛连炳在人工线进行拉错件时，不慎脚底踩空摔落，我司第一时间将其送往台州市第一人民医院，经医生诊断为左肋骨骨裂，需住院进一步观察。因伤势较轻，预估费用1500，住院产生费用自理。</t>
  </si>
  <si>
    <t>陆梦丽</t>
  </si>
  <si>
    <t>浦东转运中心</t>
  </si>
  <si>
    <t>两当事人男女朋友关系，2 月 16 日主管王华明联系过当事人赵扎袜未联系上，17 日主管王华明安排喻莎莎去上海南汇工业园区 浦东新区汇成路859号出租屋找敲门没反应，19 日再次安排喻莎莎去出租屋找发现：两当事人赵扎袜、王燕在出租屋内已经死亡，喻莎莎报警，惠园派出所出警，民警到现场进行刑事侦查，具体死因及时间待警方调查，现场发现人员喻莎莎配合派出所做笔录；后续最新情况会第一时间同步输出。</t>
  </si>
  <si>
    <t>2024年2月20日凌晨1:31时许，众悦人力（合作人力供应商，属临时工）装卸工何忠信，51岁，河南尉氏人（郑州中心附近）在装南宁车时身体突发不适，当场晕倒在车厢内，趴在快件上，无摔倒迹象。转运中心第一时间拨打120急救，医护人员1:50到中心给该工人急救，当时该工人心跳已经停止，随后宣布该工人死亡。家属随即赶到，目前当地派出所和省区人事在协调善后工作。</t>
  </si>
  <si>
    <t>李祥</t>
  </si>
  <si>
    <t>三方劳务</t>
  </si>
  <si>
    <t>2024年2月25日10:29:10 漯河转运中心员工马文博，在进港3号库卸车口8号摆臂位置，在设备正常运转且未进行停机操作状态将手伸入检修口位置寻找个人物品，导致设备传动轴夹伤右手食指。</t>
  </si>
  <si>
    <t>个人违规</t>
  </si>
  <si>
    <t>南通转运中心</t>
  </si>
  <si>
    <t>场外交通</t>
  </si>
  <si>
    <t>2024年2月28日中午12:05分，南通转运中心员工陶文友，在东门位置下班途中，骑电动车直行，货车车头右转时处在视野盲区，未发现该员工导致电瓶车撞倒切员工左腿骨折，该事故交警判为大车司机全责。</t>
  </si>
  <si>
    <t>中心扩建网点，安装隔离网增加格口，隔离网太重员工方进社主动帮忙抬隔离网，因作业空间较小后隔离网重心失衡挤压脚背至左脚骰骨骨裂。</t>
  </si>
  <si>
    <t>严飞</t>
  </si>
  <si>
    <t>25天</t>
  </si>
  <si>
    <t>场内交通</t>
  </si>
  <si>
    <t>某员工在卸货口车辆倒车过程中，强行抢着从车辆与伸缩带之间穿过，结果导致被车辆积压在货厢与伸缩带之间</t>
  </si>
  <si>
    <t>15天</t>
  </si>
  <si>
    <t>省区车队自行处理</t>
  </si>
  <si>
    <t>车辆在场内夹伤员工</t>
  </si>
  <si>
    <t>南昌转运中心</t>
  </si>
  <si>
    <t>卷伤</t>
  </si>
  <si>
    <t>2024年3月10日晚上19:48分，南昌转运中心员工王武群,在A2库dws扫描， 由于dws后端流水线堵货，员工在关闭流水线后去进行疏通的途中，有一节流水线摆轮设备异常未被关闭，导致员工踩踏上去之后摔倒头发卷入其中。</t>
  </si>
  <si>
    <t>舒自强</t>
  </si>
  <si>
    <t>设备故障</t>
  </si>
  <si>
    <t>大连转运中心</t>
  </si>
  <si>
    <t>2024年3月10日21:00大连转运中心管理人员于树军，在发车时间给沈阳车司机（李庆权）打电话发车3-4次电话未接通，长春车司机与沈阳车司机（李庆权）相熟去找沈阳车司机（李庆权），21:22分在沈阳车驾驶室内发现沈阳车司机（李庆权），叫其发车，未叫醒，21:23找到现场管理于树军到现场发现沈阳车司机（李庆权）有问题，叫来车队负责人李奇，确认情况，并拨打120急救中心和110报警，120到达现场确定死亡，目前正在等待医院和警方确定死亡</t>
  </si>
  <si>
    <t>东北车队驾驶员不纳入考核</t>
  </si>
  <si>
    <t>闽南转运中心</t>
  </si>
  <si>
    <t>3月9日20点40分左右，中心班长戴锦煌在进港办公室下面钢平台上扫描环保袋，因环保袋湿滑，导致不慎踩滑倒，磕到上二楼楼梯底下，至左颞发生受伤，约3.5cm</t>
  </si>
  <si>
    <t>庄俊杰</t>
  </si>
  <si>
    <t>1天</t>
  </si>
  <si>
    <t>火灾事故</t>
  </si>
  <si>
    <t>责任火灾</t>
  </si>
  <si>
    <t>2024年3月12日 04:40许，上海浦东转运中心2号宿舍楼504房间，发生自燃。详细经过：04:41中心员工李凡蓉发现504房间着火，打电话给中心人员吕立华，吕立华迅速赶到现场，现场浓烟明火已经到了门口窗口，迅速采取紧急措施，协调关闭电源，呼救报警。现场组织救援采取干粉灭火器扑救（使用10个），火势控制后使用消防栓将明火扑灭。随后通知消防救援人员火已经扑灭不要来了现场。消防部门回复救援人员已经到达，消防救援部门到达现场将封锁现场，事故原因待消防救援调查判定。</t>
  </si>
  <si>
    <t>人员违规使用电器未拔开关</t>
  </si>
  <si>
    <t>2024年3月13号早上八点左右，员工(林越茂)在揭阳转运中心进港卸货口工作时，被包裹砸伤脚趾，原因是包裹内部有铁制件，卸货时包裹掉落砸伤脚趾，现场主管滕国根发现后带受伤员工到揭东区人民医院进行治疗，诊断结果为脚趾骨折，医生在脚趾断裂处植入钢钉进行固定，同时员工需要住院治疗进行观察及恢复，现场主管滕国根垫付医药费3125元。后续调取监控，发现是在车厢内部，监控无法看到详细的画面，故无法提供有效的监控视频，另外，和受伤员工沟通时了解到，员工在卸货时，从上往下拉取包裹，拉取到中间时，员工并不知道包裹内部有铁制件，结果包裹滑落，导致脚趾被砸伤，员工本身并无任何违规行为。</t>
  </si>
  <si>
    <t>苏州转运中心</t>
  </si>
  <si>
    <t>2024年3月13日早上05:39分，苏州转运中心进港1号线细分回流线员工邵刚兵（男53岁，工龄3年）进行分拣作业，过程中由于当时皮带机上积压货物较多，快件掉落砸至该员工脚面上。3月14日上午前往伊山湖医院治疗，医院诊断脚背骨裂。目前该员工正在前往苏州市吴中区人民医院拍片检查中。</t>
  </si>
  <si>
    <t>增城转运中心</t>
  </si>
  <si>
    <t>2024年3月15号早上5点32分左右，增城转运中心倒包平台员工李应军在二层倒包平台操作中，拉包时不慎将旁边重物带到，导致被包件旁边的铁制品重物砸伤脚背，随后班长发现后立即将该员工送到南方医院就诊，对受伤部位进行缝针，现已就诊完，经医生建议已回宿舍休息。</t>
  </si>
  <si>
    <t>3天</t>
  </si>
  <si>
    <t>员工毛海艳，上班期间用手取被卡快件，夹伤左手无名指</t>
  </si>
  <si>
    <t>2024年3月17号晚上22:01分左右在装（增城一合肥一班车，皖AG5073）车的过程中因流水线货物一下子来的快没及时拿下来，整包货砸到小腿上，导致膝盖脱臼，韧带断裂。因是在车厢内部监控无法看到详细画面，故无法提供有效的监控视频。</t>
  </si>
  <si>
    <t>2024年3月18日晚上20:20分，南通转运中心航空班次安徽中悦企业管理服事务有限公司员工翟节斌（男28岁），在航空出港青岛口位置装车过程中，货故车（山东车队车牌鲁AN1287主驾驶宋磊15141088138副驾台百龙15265253738）移动导致该员工从平台摔落，随后120赶往现场将其接走，经诊断右桡骨远端及尺骨茎突骨折，下尺桡关节间隙增宽需消肿后进行手术，该事故交警目前还在判中。</t>
  </si>
  <si>
    <t>2024年3月19日00:40分，员工鲁先菊在上班路途中，在靖江场地东大门外（靖江街道青六南路加油站往北约100米丁字路口）被外卖员电瓶车逆行撞倒，后送往杭州市萧山区第二人民医院，诊断结果为颅内脑外出血，顶骨骨折，</t>
  </si>
  <si>
    <t>王雪祥</t>
  </si>
  <si>
    <t>2024.3.19-08：56西安转运中心5号线细分拉件员袁拴牢操作扫描时感到身体不适未上报区域管理，头晕导致不慎将头部撞在临猗格口围栏立柱上，事后员工也未上报班组长只请假说头晕，班组长让回家休息，晚上11点左右员工感觉说话不清楚嘴巴扭曲，随即联系朋友送往咸阳市第一人民医院，经医院检查确诊为脑梗，3月20日中午14：00左右家属联系中心经理告知员工在医院治疗，中心安全约谈当班组长和当班现场员工了解情况并调取监控取证，配合省区人资赶往医院了解员工具体病情</t>
  </si>
  <si>
    <t>赵豪杰</t>
  </si>
  <si>
    <t>杭州转运中心-大江东</t>
  </si>
  <si>
    <t>2024年03月21日早上08:58分，杭州转运中心员工（设备维养初级助理）李虎，在杭州转运中心-大江东园区机修仓库门口进行滚筒拆卸作业，与（设备维养初级助理）徐军合力放置已拆卸完滚筒时，徐军未通知李虎直接撒手导致滚筒砸落地面，李虎未反应过来右手被滚筒压在地面上，导致右手无名指骨折。</t>
  </si>
  <si>
    <t>车辆抵达卸货口后，员工卸货期间卸环保袋时旁边环保袋被带动导致一起掉落，砸到该人员身上，员工重心不稳跌落摔倒导致左桡骨静裂骨折，医生建议静养即可</t>
  </si>
  <si>
    <t>2024年3月22日02点43分左右，出港员工施小伟下班期间驾驶机动车在出港7-9号线场地外围通道撞向出港员工杨国民；目前受伤者情况：多处骨折；膝盖、腰椎、头部均有受伤。后续待医生3-23号进行CT拍片检查、26磁共振检查。</t>
  </si>
  <si>
    <t>沈鸿伟</t>
  </si>
  <si>
    <t>淮安转运中心</t>
  </si>
  <si>
    <t>航空库细分扫描员：徐红芹，2024年3月22日00:30，在装货区6号圈扫描西安，中途去卫生间不慎从平台楼梯踩空，导致左手手腕受伤，当日立即送医。当天在淮安区山阳街道城东社区卫生服务中心检查诊断结果：左侧桡骨端骨折，实际医生反馈问题不大，建议休养一周，员工反馈并无大碍，并坚持要求上班。</t>
  </si>
  <si>
    <t>吕艾萍</t>
  </si>
  <si>
    <t>迟报</t>
  </si>
  <si>
    <t>老鼠咬伤</t>
  </si>
  <si>
    <t>2024年3月23日，16点30，进港卸车口员工王伟栋在无面单库房倒筐，被筐里面的耗子挠伤。到医院医生诊断需要打5针狂犬育苗。</t>
  </si>
  <si>
    <t>于凯</t>
  </si>
  <si>
    <t>2024年03月27日中午12:38分，泉州转运中心试用工皮林洪在员工宿舍221号房间浴室内洗澡时滑倒摔伤随后送至医院，经医院医生确认诊断为左股骨近端骨折。</t>
  </si>
  <si>
    <t>曹伟龙</t>
  </si>
  <si>
    <t>2024.03.27晚21点24分，上海转运中心出港外围四组班长穆继磊，在送破损件去前端后经人工矩阵区走道回到班组区域，在下183号装货卡位站人平台楼梯时，最后两三步时不慎滑落在地，当时未见明显疼痛，但在上半夜班次结束时疼痛加剧，于是去青浦中山医院检查判定肋骨骨折错位。</t>
  </si>
  <si>
    <t>鲁邵冬</t>
  </si>
  <si>
    <t>2024年03月28日中午20:14分，泉州转运中心正式工赵光荣（工号：1042802）在WDS岗位上班时间段，因卸货口7号流水线线上货物堵住，在按下设备停止键后确认设备关停上去疏通货物时，流水线设备摆轮突然启动，人员顺着设备流水线运行导致右手手指被缝隙处卡入，当班同事第一时间按住急停开关，并通知现场机修及班长主管，对缝隙处进行拆除后，主管先后把伤者送完医院治疗，根据医院医生诊断确认右手无名指骨折，需要做手术。具体手术费用和康复天数需等医院明确回复</t>
  </si>
  <si>
    <t>陈永锋</t>
  </si>
  <si>
    <t>设备异常启动</t>
  </si>
  <si>
    <t>2024.3.30 新员工许贤刚，早上7:00下班路上正常行驶被车追尾（时间大概是7:15分左右），员工自述对方小车的全责，目前在中医院住院，暂无交警事故认定书。初步诊断(西医)：1.肋骨骨折2.头部的损伤3.胸部挫伤4.多处挫伤</t>
  </si>
  <si>
    <t>李京松</t>
  </si>
  <si>
    <t>进港白班舒堂千2024年4月1号下午16点41分左右发生的事故经过，昆明进港交叉带小环西平台20-交叉带北区，员工舒堂千（手机号：13888946280，身份证号：530113199904134610）正常分拣过程中，由于快件掉入皮带机下滚轴区域夹缝处，员工清场发现此情况后未按照操作规定进行操作，直接用手去夹缝区域清件手直接伸入运行中的皮带滚轴转动区，在掏夹缝处快件时，手部不慎被滚轴夹伤，事故发生后当班主管立即开车将员工送往医院检查，经医生诊断为：手臂脱皮，已送医院，费用待诊断结果后出为主</t>
  </si>
  <si>
    <t>何龙江</t>
  </si>
  <si>
    <t>2024年4月2日1时47分左右，进港卸车口班组长管立国发现卸车口矩阵下货物堵塞，随后将上层传送带停机，走到堵塞位置查看情况，违规从上层传送带跳下，踩翻下层传送带货物，导致身体失衡跌落到地面受伤。经送医检查，诊断结果：左膝前交叉韧带断裂，内侧副韧带撕裂。入院手术治疗，手术以后需修养2个月左右，手术后韧带可恢复8成。</t>
  </si>
  <si>
    <t>2024年4月2日晚班市内1组新入职员工蒋星宇18:16分工号（1257672）在来上班路途中在原尚门囗骑电动车不小心撵到石头摔倒，手脚擦伤.目前在南方医院拍片结果无大碍.就是摔了一颗牙齿</t>
  </si>
  <si>
    <t>孙颖超</t>
  </si>
  <si>
    <t>2024年4月4日18:40时许，中心正式工张双红在上班途中，由土墙路东向西方向往金陵大道北向南方向左转，转至路口中间时被金陵大道北向南方向汽车撞倒，导致头部和膝盖受伤，所幸该员工正确佩戴安全头盔，损伤较小。员工当时为及时向班组长报告工伤情况，只是提交病假流程，4月7日上午10时许，因员工需继续请假，中心人事询问情况后才知晓该员工发生厂外交通事故，目前交管部门暂未出具事故鉴定报告。查，诊断结果：左膝前交叉韧带断裂，内侧副韧带撕裂。入院手术治疗，手术以后需修养2个月左右，手术后韧带可恢复8成。</t>
  </si>
  <si>
    <t>刘利洋</t>
  </si>
  <si>
    <t>2024年4月8日11点34分许，中心异常组员张曼曼在洗手时因近期雨天天气影响地面湿滑不慎滑倒；目前受伤者情况：头部右侧受伤：一处约1.5cm伤口。中心第一时间发现送至医院CT拍片：头部未发现其他受伤,伤口缝2针，待休息一周拆线</t>
  </si>
  <si>
    <t>2024年04月11日清晨大约6点左右，公司员工叶瑞强结束当天下班后，在返回宿舍的途中于一处红绿灯路口等待信号灯由红转绿（经叶瑞强本人确证，当时并未有任何移动，始终在原地等待绿灯通行）。然而，此刻，一辆社会机动三轮车突然撞向叶瑞强，事故现场三轮车的挡风玻璃及后视镜悉数破损。事故发生后，现场人员已第一时间分别拨打了交警和救护车的紧急联络电话。</t>
  </si>
  <si>
    <t>肖福根</t>
  </si>
  <si>
    <t>2024年4月11日早上7点零四分左右，揭阳进港白班员工（廖义香）请电动车在上班途中被货车撞倒，到达现场时货车司机不在，疑似驾车逃逸，家属已经报警处理，受伤员工由家属送往揭东区人民医院进行治疗，经过医生诊断，已确认员工自身12根肋骨断裂，肺部也受到严重撞伤，下巴破皮出血，肩胛骨以及大腿处也受到不同程度的骨裂，同时大腿处不清楚被什么物品戳伤，导致大腿处有一处对穿伤口，手术后，经过医生和家属的沟通，目前员工转移到揭阳市人民医院进行后续治疗，因发生事故地点在场地外，中心无法提供监控视频，需要等交警部门进行调取，但是否可以调取到，需要等交警部门确认。</t>
  </si>
  <si>
    <t>张康煜</t>
  </si>
  <si>
    <t>扭伤</t>
  </si>
  <si>
    <t>2024年4月12日22时00分左右，出港扫描员何文英在装车6号线2口位置倒包，因包裹较重，力量不够，导致崴脚。随后在车上休息至凌晨1点下班回家，4月13日早上7点左右起床，发现脚疼，走道困难，随后去医院进行检查，在下午15点30左右员工将结果同步至中心，在沟通过程中，伤者家属询问治疗以后的营养费，工资，护理费，想走自己的市医保加上单位的保险，没钱垫付。</t>
  </si>
  <si>
    <t>2024年4月16日早上7点零六分五十三秒，揭阳转运中心进港白班员工（黄旭祥）在场地打扫卫生时（饶平网点公司司机在未确认车辆周围安全的情况下私自启动车辆），导致中心员工摔伤无法行走，现场班长王嘉豪发现后将受伤员工送往揭东区人民医院进行治疗，医生经过检查，诊断结果为：足部损伤，跟骨骨折，右足肿胀，局部压痛，医生拍片后，不太确定员工骨折是否属实，建议住院观察，但员工拒绝并表示自己要回家（居住地）治疗，班长王嘉豪开车送员工回到员工居住地附近的医院进行检查，并且帮忙垫付拍片的费用135元，后续调取监控，发现员工拿着吹风机在绕行伸缩机时，一只脚踩在甲板上，另一只脚刚踏入货车车厢后面，这时货车突然启动，导致员工摔伤。</t>
  </si>
  <si>
    <t>2024年4月1日清晨大约6点左右，白班卸货员李波，在前往工作岗位的途中，由于驾驶行为违规，选择了逆向行驶，从而不幸引发了一场与对面正常行驶的电动车相撞的交通事故。事故现场显示，双方电动车受到不同程度的损伤，同时，当事人李波也因此次碰撞事件，脚部部位受伤。</t>
  </si>
  <si>
    <t>2024年4月18日下午五点左右，白班自动化供件员戢君（工号：1257521），在自动化O型异常件区域打扫卫生清场期间，扫把脱手掉在设备下，扫帚被皮带滚筒卡住，员工拾取扫帚，扫帚弹起导致手指卷入，最终右手食指被磨脱皮未出现骨折骨裂等现象，预计医疗费用1700左右。</t>
  </si>
  <si>
    <t>常州转运中心</t>
  </si>
  <si>
    <t>2024年4月21日早上04:56分-04:59分，常州转运中心进港装货口员工王小娟、工号1154982，在常州-进港-天宁中部装货区位置进行拉扫作业时，站在皮带机接缝处操作，不慎被皮带机夹伤左手。</t>
  </si>
  <si>
    <t>徐鹏峰</t>
  </si>
  <si>
    <t>海口转运中心</t>
  </si>
  <si>
    <t>海口转运中心前台破损处理人员李慧玉在下班清场时从卸货口边缘防撞踏板走出卸货区域时踩空不慎跌落，右侧面头部着地耳部出血。120救护车6:12到达中心，6:24带李慧玉到达海南省肿瘤医院。</t>
  </si>
  <si>
    <t>杨洁</t>
  </si>
  <si>
    <t>2024年4月24日上午10：44左右，白班细分扫描员成品聪（工号：1251513），在简阳3库1层-扫描区-攀枝花-67区域分拣货物期间，重货扫描（轮胎轮毂）时，员工滚动轮胎轮毂，在滚动轮毂期间失去平衡砸中员工脚部，最终导致员工左脚第1远节耻骨近端骨折的可能。</t>
  </si>
  <si>
    <t>彭黎</t>
  </si>
  <si>
    <t>自贡转运中心</t>
  </si>
  <si>
    <t>伤者姓名:周艳，性别:女，年龄:41岁，身份证号：510303198309251345，职位: 破损处理员。此次事故，因传送带压死，该名员工去疏通传送带，员工因安全意识薄弱、操作不规范，忘记手在传送带接缝处导致手被传送带夹伤。事故发生第一时间已通知负责人，夜班操作主管陪同前往自贡市第四人民医院，并已通知伤者家属，经诊断为：左手第2、3远节指关节脱位，第2远节指骨远段缺，初步估计费用在50000元左右。</t>
  </si>
  <si>
    <t>范莉</t>
  </si>
  <si>
    <t>济南转运中心</t>
  </si>
  <si>
    <t>2024年4月23日23点27分左右，进港夜班自动化集包员闫候丽（工号：1165134），在整理网点环保袋过程中，不慎摔倒。导致右侧桡骨远端骨折，预计医疗费用50000元左右。</t>
  </si>
  <si>
    <t>徐圣哲</t>
  </si>
  <si>
    <t>2024年4月27日早晨八点五十分，夜班人工拆包倒包员王存全（工号：1253027），在来车卸货间隙，于拆包区域收纳编织袋清场期间，在传送带运行情况下，违规伸手掏编织袋导致手臂被带入传送带卡住，最终小臂骨折加表皮磨损，目前正在送医，医嘱观察两天看病情发展。</t>
  </si>
  <si>
    <t>汪新国</t>
  </si>
  <si>
    <t>济宁转运中心</t>
  </si>
  <si>
    <t>济宁转运中心泽润劳务公司装卸工臧明友于2024年5月3日下午3点04分，正常操作突然身体不适晕倒在平板车车板上，同伴及时汇报给卸车口班长，班长马上拨打120电话，120预计到达时间过迟，班长马上联系劳务驻场人员将其送往人民医院王因分院，在人民医院王因分院检查后，建议转院至人民医院东院区，并安排120救护车将人员送达，在人民医院东院区经抢救无效于2024年5月3日下午5点39分宣布死亡。</t>
  </si>
  <si>
    <t>姬升腾</t>
  </si>
  <si>
    <t>2024年5月5日晚上22:38分，郑州转运中心员工丁世贺，在郑州出港D库小件交货消防伸缩机位置进行维修作业时，因两名机修沟通失误，在机修员丁世贺还在维修设备时，另一名机修启动消防伸缩机伸缩功能，导致机修员丁世贺手指被夹伤</t>
  </si>
  <si>
    <t>徐州转运中心</t>
  </si>
  <si>
    <t>5月6日16：50分接操作班长韩满上报，员工谭兴磊，工号1236347，中午下班途中行至104国道张集医院门口时,和车辆发生碰撞，已报警处理。初步了解此员工肋骨受伤。事故责任待交警判责，伤情后续跟进。</t>
  </si>
  <si>
    <t>朱铁宁</t>
  </si>
  <si>
    <t>2024年05月07日晚上20:13分，泉州转运中心正式工康文辉（工号：1228854）在出港西安线岗位上班时间段，因该兰州卡位未在使用的流水线进行移动，导致右手大拇指被压，及右手大拇指与无名指之间皮组织压伤，根据医院医生诊断确认右手大拇指筋压断，需要做手术。暂时手术费用1万左右，康复天数需等医院明确回复</t>
  </si>
  <si>
    <t>2024年5月8日20:45，员工:苏百州，男，22-11-8入职，51岁，自述在装车时被货物挤掉后脚部受伤，紧急送医后，医院初步诊断右脚跟骨骨折，需住院治疗</t>
  </si>
  <si>
    <t>关于5月08日昆明转运中心出港班次员工万超后台卸车员，2024年5月8日凌晨05:37分，在昆明-长沙-上海二班车码货途中，因脚下踩空不慎摔落，摔落高度为1米左右，经送医院检查结果为脊椎轻微错位，医生建议静养一个月。</t>
  </si>
  <si>
    <t>保定转运中心</t>
  </si>
  <si>
    <t>2024年5月8日下午16:40分，员工魏贵芝骑电动车下班途中正常行驶时，被对向行驶过来面包车撞伤，司机立即拨打120将其送往徐水县医院治疗，经检查为左下肢及左上肢肿胀，现在医院住院治疗。员工于5月9日晚告知公司人资。</t>
  </si>
  <si>
    <t>康红涛</t>
  </si>
  <si>
    <t>盘锦转运中心</t>
  </si>
  <si>
    <t>2024年5月10日19点45分盘锦转运中心进港自动化集包区域员工郭强在拿取环保袋过程中，违规跳下人行跨梯导致受伤，现场班长第一时间联系中心安全员将受伤员工送至盘山县人民医院，医院初步诊断左侧跟骨骨折，左侧骰骨考虑撕脱性骨折，医生建议住院手术治疗。</t>
  </si>
  <si>
    <t>徐超</t>
  </si>
  <si>
    <t>深圳宝安转运中心</t>
  </si>
  <si>
    <t>2024年5月12日凌晨3：13分，深圳转运中心员工郭发圣，在七区保定-天津位置进行装车作业时，由于转身拿盒子把顶上塞满，拿到盒子转身回去的时候左脚轻微踩空踩到伸缩机与防护挡板接缝处，被皮带带动卷进夹缝处，肉眼可见左脚小趾被防护板割伤，具体伤情还未出结果。</t>
  </si>
  <si>
    <t>陈欢</t>
  </si>
  <si>
    <t>员工家属口述：2024年5月13日，员工在13号骑电动车下班途中在三合路122中学附近，有车辆晃下，造成员工摔倒，员工家属用员工手机提交病假流程。员工家属在2024年5月16号上午10点半左右联系我司人资部，上报下班途中发生工伤。医院诊断为蛛网膜下出血，人资以要求员工家属提交事故报告。</t>
  </si>
  <si>
    <t>陈宗海</t>
  </si>
  <si>
    <t>2024年5月19日晚上23:12分，南昌转运中心员工刘双文,在A1库卸车的过程中，由于货物摆放不稳，员工在蹲下的时候意外被砸到脚，导致左内踝骨折。</t>
  </si>
  <si>
    <t>2024年5月20日8:37分许，江阴转运中心员工王秀元（男54岁，工龄9年)，在二楼交叉带区域作业过程中突发疾病晕倒，目前正在医院治疗中心具体情况不明，目前事故跟进中</t>
  </si>
  <si>
    <t>陶健</t>
  </si>
  <si>
    <t>2024年5月20日早上7点左右，出港班长林延壁接到揭东区人民医院电话，有中心员工出现交通事故被送往医院，接到电话后班长林延壁、主管李爽、安全员晏福华第一时间赶往揭东区人民医院，到医院后，班长林延壁替员工缴纳费用4500元，随后陪同受伤员工在医院做各项身体检查，直到受伤员工的家属到达医院后才离开，受伤员工初步诊断结果：左桡骨远端骨折，考虑脑挫伤，少量蛛网膜下腔出血、头皮血肿。</t>
  </si>
  <si>
    <t>夜班员工骑电瓶车，地面湿滑摔倒</t>
  </si>
  <si>
    <t>员工康威在靖江场地北楼嘉兴口子上班，在处理破损件时因地面存在液体，而导致该员工不慎跌落台阶，随后送往杭州第九人民医院就诊，诊断结果为锁骨骨折，头部擦伤。</t>
  </si>
  <si>
    <t>朱平</t>
  </si>
  <si>
    <t>5月21日23点03分左右，出港员工黄少萍在出港4号线，闽南-泉州装车口车厢内装货时，因需将整袋快件装车叠放甩包上货时候不慎脚底踩空导致受伤。目前受伤者情况：尾骨骨折（CT）</t>
  </si>
  <si>
    <t>关于5月24日早上7点左右昆明转运中心操作员工王太委，工号：1220258，于5月23日19点左右，感觉身体不舒服，给班组长请假回宿舍休息，（申通快递昆明分拨中心员工公寓楼211号），于05月24日早上07点左右同住宿舍同事下班回宿舍后发现王太委身体不适，打电话给了当班主管付伟俊），当班主管即刻到达211号宿舍，王太委精神身体状态不好，就着拨打120急救，08左右120急救到达进行救护措施，救护过程中王太委抢救后死亡。后拨打110报警电话，08:30左右警方到达现场，现调查事件原因。现具体死亡细节和情况进一步跟进中，及时同步总部安委会。</t>
  </si>
  <si>
    <t>2024年5月26日凌晨3点29分29秒左右，广州转运中心晚班前台卸车员崔显冬，在9号卸货口清理破损件，搬一个重大快件起身时重心不稳，向前摔倒用手支撑身体，起身后左手感到疼痛，上报班长廖鑫鑫，送往南方医院进行检查治疗，经过医生的检查，诊断结果为：左手第5掌骨中远段骨折、住院接受治疗。</t>
  </si>
  <si>
    <t>谢振源</t>
  </si>
  <si>
    <t>2024年5月28日晚上01:38分，员工冯会云在出港59号供件台操作结束后，由爬梯向下走的过程中，脚不慎踩空，导致从爬梯摔落。01:39分员工刘世勉、赵晓扬发现后将该员工扶至空旷处，发现该员工左手背及右小臂有擦伤，随即通知了当班班长。01:45班长武学文观察过伤口后，报至当班主管。
2点左右，经当班主管观察伤口后，由班长武学文、员工吕飞亮带冯会云前往栾城区人民医院就医，经医生拍片观察后，确诊为左小臂开放性骨折。
经过后期与员工沟通和观看监控，初步确定为员工在通过爬梯通道时意外摔落。</t>
  </si>
  <si>
    <t>李维鑫</t>
  </si>
  <si>
    <t>2024年04月27日中午12:55分，泉州转运中心正式工吴满满（工号：1257566）在上班途中行驶到晋江市磁灶镇陶东路五金机电城路段时发生交通事故，吴满满后被送往磁灶中心卫生院就诊检查结果为右上颌窦前壁骨折右部皮下血肿，右颧部皮裂伤，右肘部软组织伤，此次交通事故判定该事故机动车车主全责，该我司员工无责。</t>
  </si>
  <si>
    <t>员工迟报</t>
  </si>
  <si>
    <t>温州转运中心</t>
  </si>
  <si>
    <t>员工梁纪涛在中心3号库1区前段上班，在错发件装车期间，站在月台边上操作，没站稳导致的摔落，随后送往龙湾区第一人民医院就诊，诊断结果为脚骨骨折。</t>
  </si>
  <si>
    <t>袁桥</t>
  </si>
  <si>
    <t>华东出港员工宋四中年龄40，工号（010090138）2024年5月28日7:30被机动车撞伤后120送往淮安医院。出险地点，该员工5月28日1点下班之后在宿舍休息休息四个多小时，5:47从公司回家，据本人描述说路上电动车坏了，修了一会儿，7:50左右在淮安区高铁东站附近三阳大道与京沪高速交叉口被机动车撞伤后后备送120送往淮安医院，受伤的部位，腿部骨折，肋骨骨折，头部等门诊或住院的医院名称，淮安医院预计费用2万元，联系方式，15896152165。</t>
  </si>
  <si>
    <t>施工火灾</t>
  </si>
  <si>
    <t>2024年6月1日18点30分出港员工发现正在拆除的进港老场地出现火光及浓烟，员工第一时间上报车间车管，出港车间主管立即带领员工及机修持灭火器进行灭火并上报至中心安全员，</t>
  </si>
  <si>
    <t>2024年5月25日15：35，员工霍海辉去园区内壹米滴答物流属区库房北侧吸烟，当天为雨天路面湿滑去吸烟室的路上不慎摔倒，当天员工感觉并无大碍（拒绝了班组长让去医院检查的提议，下班后员工去小门诊医院检查，大夫初步诊断为崴脚，建议休息两天就好，此后该员工请假休息）。6月4日感到不适到静海区医院检查为脚骨骨裂，医院建议休14天，6月4日晚该员工回老家保守治疗，6月5日再次到医院检查时医院建议采取手术治疗，预估治疗费用3~4万。</t>
  </si>
  <si>
    <t>孙阔</t>
  </si>
  <si>
    <t>青岛转运中心</t>
  </si>
  <si>
    <t>因为2024年6月5号19点上班时点名未到，打电话未接。安排班长去员工自租房子寻找，发现已没有意识，班长马上报警，120，随后班长跟着一起去医院，到达医院已无生命迹象。</t>
  </si>
  <si>
    <t>金章</t>
  </si>
  <si>
    <t>割伤</t>
  </si>
  <si>
    <t>2024年6月7日00：29，出港员工陶云霄在拆包平台使用壁纸刀拆包，不慎将手割伤，第一时间班组长将其送往医院，医生初步建议是，需要缝合，当晚无法缝合，进行简单包扎，班组长于2024年6月7日8：00将员工受伤信息同步至安全员处。于早上8点员工去往医院检查，8点58检查结果为左手食指肌腱，侧副韧带断裂，需要住院手术，预计手术费用1W左右，后续费用待跟进。</t>
  </si>
  <si>
    <t>2024年6月6日上午，员工崔钰柳骑电动车下班回家途中，9点20行驶至屯庄村时被逆行骑电三轮老两口（60多岁）撞伤，现在员工在徐水区医院治疗，事故具体原因交警正在核实中。</t>
  </si>
  <si>
    <t>2024年6月12日凌晨03:30分，上海转运中心员工王均露，在三楼进港卸货33号码头车厢内位置进行卸车作业时，由于卸货操作对隐患快件识别不及时。在卸一件包状快件时，包下一件铁块快件掉下砸伤员工王均露脚，造成跖骨骨折开放性伤口（卸货车线：泰州→上海81240717025），目前在青浦中山医院救治（住院押金5000）</t>
  </si>
  <si>
    <t>鲁绍冬</t>
  </si>
  <si>
    <t>2024年6月12日早上8点35分左右，增城转运中心出港晚班员工（蒋忠宣、龙杰）骑摩托车下班途中，经过宁西高速路口时与电动车相撞，造成两名员工一人重伤，一人轻伤。原因是两名员工下班途中，正常直行，对方骑电动车突然斑马线上横穿，经过打喇叭提醒无用，被电动车顶到前胎导致侧翻，我方员工均佩戴头盔，未有闯红灯行为。现场班长王细平及主管韦军接到消息第一时间将受伤员工送往广东省水电医院进行治疗、拍片，经过医生的检查，诊断结果为：员工蒋忠宣为右臂肩胛骨粉碎性骨折，胸前右侧第10根肋骨骨折，与医生商量后决定进行手术与治疗；员工龙杰目前正在检查，经员工自述存在头晕，扭伤的可能。</t>
  </si>
  <si>
    <t>覃杰敏</t>
  </si>
  <si>
    <t>2024年6月12日凌晨3点30分，晚班后台装车员曾兴在伸缩机前端将包件挪至旁边的过程中，因包件过重而将右脚踩在滚轴处，结果不慎被皮带机卷入。</t>
  </si>
  <si>
    <t>2024年6月12日早上8点55分，揭阳转运中心员工（林旭生）下班后骑摩托车（非电动车）回家途中（锡场镇金东岭华清村神子安路段）被车辆撞伤，现已经送往锡场人民医院进行治疗，现场主管林泳涛以及班长林荣亮第一时间赶往医院看望受伤员工，经过了解，员工目前已经做完CT，头部有包扎，但头部内部是否有损伤还需要等报告出来才能知道，另外，受伤员工反映手脚并无骨折，只是手脚酸痛，疑似发生意外时肌肉收缩和神经紧张导致，后续需要接受住院治疗，后续费用待定，和家属沟通时，家属已经支付费用2000多元，同时家属已经报警，具体是谁的责任目前待了解，处理结果需要等待交警部门出具报告。</t>
  </si>
  <si>
    <t>2024年6月12日凌晨4点49分49秒左右，重庆转运中心出港员工黄吉才在申通重庆转运中心出港15号线装货时，因车辆启动发车，黄吉才在看到流水线有件从线体上流过来，便去将流过来的件进行装车，由于车辆启动导致黄吉才重心不稳从伸缩机掉落下月台，下班后去往巴南区人民医院治疗</t>
  </si>
  <si>
    <t>张翅翔</t>
  </si>
  <si>
    <t>常德转运中心</t>
  </si>
  <si>
    <t>2024.06.15凌晨5点11分，进港卸货车辆（申瑞浙A0Y086）卸车后，中心员工在将伸缩机撤回平台时，员工朱正平进入车厢内捡拾遗漏在伸缩机下的小件，捡件后返回钢平台走到车辆接驳位置时，车辆突然往前开动，导致员工朱正平从车厢掉下，经送医检查后，诊断结果为，左胸两根肋骨骨折，医院初步估计治疗费用在1万元左右，且治愈后，可能还需修养2-3个月。</t>
  </si>
  <si>
    <t>孙明杰</t>
  </si>
  <si>
    <t>2024年6月17日晚，进港夜班员工孟玮玮因工作原因借调给出港装车线翻面单，从出港装车二线102号口去103号口翻面单，因中间是伸缩机正在装车需要从车里绕一圈才能到103号工作岗位上，在这个过程中，走到车和装车台缝隙的时候没注意脚下，一脚踩空人掉到装车台下边，第一时间把人扶上来说没啥事就是脚扭了，当时去医院拍片检查，第五跖骨头骨折（诊断证明建休7天）操作主管与员工沟通休息几天后来公司上班安排至安检机作业。员工本人同意，但于6月24日员工的‘朋友’带着员工儿子前来公司索要说法，为什么没有给我们缴纳社保？并要求做工伤鉴定。</t>
  </si>
  <si>
    <t>6.26迟报</t>
  </si>
  <si>
    <t>福州转运中心</t>
  </si>
  <si>
    <t>2024年06月19日晚上23:25分，福州转运中心正式工宋佳豪（工号：1253611）在破损处理岗位上班时间段，想去K40隔口进行破损件核实重量。但是中间堆满了快件，员工为了走捷径，从平潭隔口往下跳跃月台。月台下方放有塑料垫托板，导致人员被绊倒摔伤。及时送往福州第三人民医院进行诊断检查：右外踝骨折，暂时医疗费用381元，员工已打石膏回家修养，后续需要复查修养治疗费用。为防意外，谨做工伤报备！</t>
  </si>
  <si>
    <t>刘家林</t>
  </si>
  <si>
    <t>6月22日6点14分高洪兰上班途中，在中心一楼办公室门口楼梯处下楼梯时崴脚，当时员工感觉并无大碍并未告知现场组长，6月22日18：00下班后去天津市静海区医院检查，经检查右足第5跖骨基底部骨折，6月23日员工请假，6月24日开班前员工电话告知组长自己骨折不能正常上班。目前人员在家休养。</t>
  </si>
  <si>
    <t>泰州转运中心</t>
  </si>
  <si>
    <t>2024年6月23日下午15：07分左右，中集德立物流系统有限公司（简称：设备厂家）一行3人至泰州场地调试设备，其公司员工江方永（男25岁左右，重庆人，)，在A3一层窄带设备区域作业过程中，设备突然反向运行导致江方永在设备上跌倒，随后左脚被卷入设备。15：10左右现场人员拨打急救电话及报警，当班物业管理肖明生及保安协同急救人员救治伤员，15：30分左右救护车离园至泰州市人民医院，16：20警方调取视频并告知伤员已被转至上海进行截肢手术。18:00向省区上报该起事件（注：1.中心反馈：设备厂家进入园区作业前，中心有组织安全培训。受伤人员为厂家6月21日新进人员，未同步中心；2.设备厂家人员调试设备期间泰州转运中心无班次作业；3.设备厂家负责人反馈：负责对此事件兜底）。事故具体原因进一步调查中。</t>
  </si>
  <si>
    <t>2024年6月25日14：38，进港员工方霞在进港1号库2层南侧通道自动化集包平台去往对向平台途中，由于着急上岗，跑动到台阶前时，没有掌握好步调，不小心摔倒，小腿嗑在平台步梯台阶处，造成小腿受伤，随后立即送员工前往医院，医生初步诊断为需要住院，详细检查并手术缝合，押金2W，后续费用待跟进。受伤情况、诊断报告及相关材料需要医生检查结束跟进。</t>
  </si>
  <si>
    <t>呼和浩特转运中心</t>
  </si>
  <si>
    <t>2024年6月26日晚上21:22分，呼市转运中心的员工冯茂，在石家庄装货口操作时，欲搬运落地快件至伸缩机的过程中，因未严格遵守操作规程，违规踩踏快件至另一端，且未充分确认脚下快件是否稳固，导致左脚不慎扭伤。次日经医生拍片诊断为左足韧带损伤，建议石膏固定，静养30日。</t>
  </si>
  <si>
    <t>王洪亮</t>
  </si>
  <si>
    <t>洛阳转运中心</t>
  </si>
  <si>
    <t>2024年6月29日早07：50分左右，洛阳转运中心员工姚俊峰下班后驾驶非机动车回家途中，于洛阳市孟津区三彩大道定鼎大道交叉口自南向北行驶时与同向行驶的三轮车碰撞发生事故，双方车辆受损，姚俊峰受伤。因交通事故责任认定书未出，根据员工自述其为正常行驶但涉事三轮车驾驶员否认碰撞，交警现场勘察之后反馈交通事故责任认定书需下周一判定下发。姚俊峰目前已送往洛阳市孟津区中医院救治，经诊断为：左侧颞骨骨折，左侧锁骨骨折。</t>
  </si>
  <si>
    <t>孙雪静</t>
  </si>
  <si>
    <t>2024年6月27日19:27分左右，沈阳转运中心员工胡广娴
在下班途中骑电动车与轿车车主在开车门时发生交通事故，胡广娴受
伤，后去医院检查，锁骨骨折，皮肤撕裂，右眼挫伤，交通部门认定
司机全责。目前员工在医院做手术治疗。</t>
  </si>
  <si>
    <t>苏广旭</t>
  </si>
  <si>
    <t>高鹤</t>
  </si>
  <si>
    <t>员工家属口述：2024年7月2日，10点21分17秒，员工高鹤在A库2楼交叉带下包格口186号，套袋子过程中，晕倒，同事发现晕倒人员上报班长，当班班长合力在10点27分抬到通风处，并拨打120，10点47分120车到拉往242医院。</t>
  </si>
  <si>
    <t>张金龙</t>
  </si>
  <si>
    <t>2024年7月2日19：52，出港员工张金龙在出港装车区 5号线3口扫描，由于线体货量较多，靠近员工一侧快件（后期核实件内为铁块）掉落砸到员工脚趾，造成受伤，随后立即送员工前往医院，医生初步诊断为右足第一趾远节趾骨骨折伴周围软组织肿胀，需要石膏固定，费用在3000左右，并定期复查及口服用药，预计费用在5000左右，需修养2-3月左右，剩余资料需要后续提供， 现员工需要受伤赔偿7，8W，工资正常开。</t>
  </si>
  <si>
    <t>朱艳聪</t>
  </si>
  <si>
    <t>2024年7月3日22：30分许，进港晚班员工朱艳聪在1号机卸货口卸快件欲将快件上流水线时，由下至上搬件过程中不慎割到车门铁皮发生受伤.诊断结果为：右手肌腱断裂。</t>
  </si>
  <si>
    <t>马艺玲</t>
  </si>
  <si>
    <t>2024年7月4日00:17分许，出港自有员工马艺玲，在10号单件分离疏通货物时，其重心左脚站平台栏杆支撑身体平衡右脚站滑槽，
在疏通完货物后欲转身离开不慎左脚被割伤。</t>
  </si>
  <si>
    <t>柳盈</t>
  </si>
  <si>
    <t>2024年7月5日上午11:36分，苏州转运中心进港二楼人工小件区
员工柳盈工号：1273891、岗位：人工细分分拣员（女24岁，2024
年6月25日入职）在工作期间因二楼室温较高不幸中暑，当时柳盈
还能说话能小弧度的动作意识，经该区域的同事李澳强及其他同事
发现后利用移动平板车将柳盈送至二楼办公室（有空调房间）进行
物理降温：喝半支藿香正气水（又吐了出来）、用冰雪糕、毛巾沾凉
水后擦拭身体、用纸板扇风降温等（但这时该员工已经没有了自我
控制意识），同时也拨打了120急救电话。苏州市独墅湖医院的救护
车大约在12:10分左右到达中心、随后由中心兼职安全员孙红胜陪
同前往独墅湖医院急救。目前该员工确诊为：中暑热射病，体温
41度、血压很低（医生未透露）、目前已送至ICU病房，具体是否
能够抢救回来医院也未做明确的回复。目前已交费用大约25000元</t>
  </si>
  <si>
    <t>孙红胜</t>
  </si>
  <si>
    <t>樊彦静</t>
  </si>
  <si>
    <t>2024年7月7日上午9:29分，泰州转运中心进港二楼人工小件区
员工樊彦静工号：1195104、岗位：自动化供件员（女36岁，2023
年2月27日入职）在工作期间因二楼室温较高不幸中暑，当时樊彦
静未第一时间通知班长，自行坐下喝水休息，经隔壁供件台的同事
发现后9:34通知班长，班长到场后询问员工情况后，9:38将员工
架到平台1层（有冷风机）进行物理降温，用毛巾沾凉水后擦拭身
体，员工情况未好，9:45分转拨打120急救电话。泰州市第四人民
医院的救护车大约在9:58分左右到达中心、随后由后勤负责人肖明
生陪同前往第四人民医院急救。目前该员工确诊为：轻度中暑，点
滴注射治疗。共计花费930元。</t>
  </si>
  <si>
    <t>曹大成</t>
  </si>
  <si>
    <t>帅先文</t>
  </si>
  <si>
    <t>2024年7月9日18:50分左右，进港晚班后台员工帅先文上班途中，骑电动车（正确佩戴头盔）
被社会摩托车撞到受伤，随即送到西区医院治疗，诊断为左髌骨粉碎性骨折，左股骨外上髁撕
脱性骨折。</t>
  </si>
  <si>
    <t>李桂秋</t>
  </si>
  <si>
    <t>杨泉</t>
  </si>
  <si>
    <t>2024年7月10号6点37分时，员工杨泉在武汉-出港5成都装车位置发现一票快件未扫描装车，他在已经下达发车指令后，自己扫描将快件上车的过程中，自己上到伸缩机前端进行装货，一只脚踩在伸缩机上另一只脚踩在车厢的货物上，正在这时车辆启动，造成他从伸缩机掉到月台下方导致1、闭合性颅脑损伤2、颅骨骨折3、双侧桡骨骨折4、腕骨骨折5、头面部裂伤6、L2椎体变扁：压缩性骨折7、肋骨骨折</t>
  </si>
  <si>
    <t>李聪</t>
  </si>
  <si>
    <t>陶用华</t>
  </si>
  <si>
    <t>2024年7月10晚上22：24左右，夜班前台卸车员工-陶用华（工号1144934），在简阳2库1层-出港倒货区-172装货期间发生夹伤，员工在伸缩机前端装车拉货时被滚轴夹伤手指，后立即送往简阳市中医院，医生初步检查疑似骨裂，建议休息三天后复查。</t>
  </si>
  <si>
    <t>上饶转运中心</t>
  </si>
  <si>
    <t>彭昌娜</t>
  </si>
  <si>
    <t>2024年7月14日凌晨3点10分，上饶转运中心员工彭昌娜，在交叉带供件台倚靠楼梯位置与他人闲聊，由设备护栏并未完善，且员工未将楼梯上方防护门关闭。员工自身安全意识不足，且聊天分散其注意力，导致脚下踩空从楼梯摔落，摔下平台，该员工当时意识是清晰的，外伤明显，30分钟左右120把该员工送往医院。</t>
  </si>
  <si>
    <t>刘白祥</t>
  </si>
  <si>
    <t>2024年7月16日晚上该员工在车厢进行卸货作业，于22时50分时间，出现身体不适感，不确定是中暑还是血压偏高引起。遂去食堂休息，休息片刻之后身体还是感觉不适，该员工就没有回到岗位，请假去宿舍休息。一直到17号晚上22时50分，该员工不适感加重送往医院。</t>
  </si>
  <si>
    <t>王胜武</t>
  </si>
  <si>
    <t>2024 年 7 月 19 日 17 时 40 分许，我司员工王胜武（未取得机动车驾驶证）驾驶电动两轮摩托车与曾攀驾驶的川 AXP292 小型轿车发生碰撞，导致车辆受损、王胜武受伤。受伤后的王胜武仍返回公司上班，然而到 20 时，因疼痛难忍向现场管理请假回去。8月1日该名员工向人资递交材料，安全员知晓后立即联系现场班长，了解到该员工受伤事件未曾通知任何管理层人员。</t>
  </si>
  <si>
    <t>谢广平</t>
  </si>
  <si>
    <t>2024年7月21日19点27分左右晚班省内员工谢广平在封开网点扫描，员工想着过去下一个网点卡口把货码整齐，防止货物掉落两个网点货混到一起，结果从装车线上下来时崴到脚了，当晚就去了南方医院检查，医生看了下说是骨头没事，今天早上去水电医院做了磁共振确定是半月板损伤。目前在水电医院住院治疗中。</t>
  </si>
  <si>
    <t>黎冠豪</t>
  </si>
  <si>
    <t>张龙</t>
  </si>
  <si>
    <t>济宁转运中心7月24日下午4点46分机修张龙在搬运钢扣机下楼梯台阶时，脚滑不幸摔倒，同事及时汇报给安全员姬升腾，收到消息后马上拨打120急救电话并将伤员平躺下，安排员工门口等待引导急救车进入现场，120急救车到达后对伤员进行腿部夹板固定，经过医院鉴定为述右胫腓骨远端骨折伴踝关节脱位。</t>
  </si>
  <si>
    <t>沈丽峰</t>
  </si>
  <si>
    <t>2024年7月25日早06：53分左右，洛阳转运中心操作工沈丽峰因中心无货提前进行清场工作。在进港一层人工分拣小件下包线处下方打扫卫生、捡掉落件，在此过程中，未关闭传送带。冒险捡取传送带下掉落件，导致右手卷入传送带中。造成右手受伤。</t>
  </si>
  <si>
    <t>李良成</t>
  </si>
  <si>
    <t>2024年7月25日18点19分，进港晚班前台卸车员李良成（工号 1280132）在卸小件时，从敞开的车厢门边缘掉落。发现此情况后，已在第一时间将其送往医院。CT检查显示其肩膀脱臼，肩膀处骨头与骨头之间的筋断裂，致使骨头突出，需进行手术治疗，现已安排入院。</t>
  </si>
  <si>
    <t>巩海龙</t>
  </si>
  <si>
    <t>7月27日，巩海龙下班途中与路口停放的挂车相撞，路过员工韦云龙发现后送医救治</t>
  </si>
  <si>
    <t>孙大壮</t>
  </si>
  <si>
    <t>7月30日员工孙大壮中暑比较严重。18点左右在流水线旁晕倒，然后班组长和员工将其搀扶至空调房，观察十分钟未见好转，随后开车将其送往胶州中心医院，18点50到达医院，医院初步诊断为热射病，随后送到重症监护室治疗，7月31日早上4点病情加重，6点多医院确认死亡。</t>
  </si>
  <si>
    <t>黄振朋</t>
  </si>
  <si>
    <t>热射病</t>
  </si>
  <si>
    <t>林伟琪</t>
  </si>
  <si>
    <t>2024年8月1日下午6点25分。进港白班员工林伟琪在清场打扫
卫生的时候，由于事故区域无法进入，于是选择了从流水线上跳下（流
水线处于关停状态），跳的时候对自己的力度掌控不够导致了摔伤。
事情发生后现场班长和主管第一时间把受伤员工送到附近妇幼保健
院进行医疗检查。诊断结果：右侧胫腓骨中下段骨折。</t>
  </si>
  <si>
    <t>晏福华</t>
  </si>
  <si>
    <t>鲁金成</t>
  </si>
  <si>
    <t>2024年08月02日早上08:17分许，上海浦东转运中心进港员工：鲁金成 13524010238，在进港3号库矩阵与同事徐兴波在执行清场任务后，发现上包线皮带防护底网内有快件。在未关闭设备的情况才写底网下尝试取出快件，导致于8:17手臂被卷入皮带机托辊，现场人员迅速反应，于8:17:58关停皮带机，同时通知现场主管、机修参与营救，8:26卸下滚筒和底网将员工鲁金成解救出来，立即在班长宋俊林、安全员苏国明的陪同下送医。经医院诊断为右腕软组织损伤和右桡骨远端骨折，现因伤口发炎不能做手术在医院住院观察治疗中。</t>
  </si>
  <si>
    <t>苏国明</t>
  </si>
  <si>
    <t>杨大毛</t>
  </si>
  <si>
    <t>今天上午11:23许，南京转运中心一员工在清场过程中不慎从交叉带处跌落，导致受伤，目前该事件调查中，请知悉。</t>
  </si>
  <si>
    <t>晏兵</t>
  </si>
  <si>
    <t>王伟</t>
  </si>
  <si>
    <t>王伟，1120960，卸货口班长，现场协调卸车，8月4日上午10：27分中暑晕倒，现在在会议室休息</t>
  </si>
  <si>
    <t>陈伟松</t>
  </si>
  <si>
    <t>姚旭</t>
  </si>
  <si>
    <t>合肥中心上嘉临时工姚旭，中暑，正在送来会议室路上</t>
  </si>
  <si>
    <t>丁南聪</t>
  </si>
  <si>
    <t>2024 年 8 月 4 日上午 10 时 32 分，白班前台卸车员丁南聪（工号：1237408）于简阳进港 3 号卸货口卸倒货车期间，在拉包时不幸被车厢内上方掉落的货物砸伤。后去简阳市中医院治疗，最终诊断结果为左足第1节耻骨中远端骨折。</t>
  </si>
  <si>
    <t>李冲喜</t>
  </si>
  <si>
    <t>李冲喜，中暑，细分扫描1249126 半身麻木无知觉已经拨打120急救</t>
  </si>
  <si>
    <t>陈先义/杨燕梅</t>
  </si>
  <si>
    <t>2024年8月4日18时左右，夜班翻面单员陈先义（工号：1232805）驾驶电动车，在金简仁快速中通方向桥梁下与正常行驶的白班细分拉扫员杨燕梅（工号：1221024）发生碰撞。事发已第一时间通知交警并联系120，随后杨燕梅被送往简阳中医院就医，现场已做CT显示除脖子受轻伤，其他为擦伤，（因中医院医师人员不足）后转人民医院诊，脸上伤口进行清创缝合手术，当晚安排住院，待8月5号下午二次做颈椎CT，看伤情是否严重。</t>
  </si>
  <si>
    <t>李晓明</t>
  </si>
  <si>
    <t>2024年8月7日上午06:55分左右，苏州转运中心进港一楼1-2号回流线细分拉扫员工李晓明陕西西安人工号：1101485、岗位：细分拉扫员（男24岁，2024年8月1日入职）在工作期间因近期苏州市温度较高、岗位工作强度较大、不幸中暑，李晓明发生中暑时全身肌肉痉挛抽搐，该区域的同事发现后第一时间先将患者抬至宽敞的区域并通知班长.主管，紧急救助：先将衣服敞开、用冷毛巾擦拭身体、利于风扇降温、07:08分使用担架抬至园区东门门卫室（有空调房间）进行物理降温：毛巾沾凉水后擦拭身体、用纸板扇风降温、按摩痉挛肌肉等，同时拨打了120急救电话（07:00拨打的120）。苏州市独墅湖医院的救护车在07:40分左右到达中心，随后由中心进/出港二位主管赵国利、董电成陪同前往独墅湖医院急救。目前该员工诊断为：昏厥.胸痛.肺部感染.呼吸性碱中毒，已恢复正常医生建议休息3天，治疗费用2607.05元</t>
  </si>
  <si>
    <t>谢强</t>
  </si>
  <si>
    <t>2024 年 8 月 7 日上午 11 时 55 分，白班前台卸车员谢强（工号：1282696）在简阳22号卸货口，卸完车后，身体出现不适，周边同事立即上报班长，随后扶谢强到卸货口平台休息，人员现场出现症状（浑身抽搐、恶心、意识不清醒）。现场采取措施，第一时间拨打120急救电话，后湿纸巾擦拭身体、头部及躯干，鼓风机进行通风，掐人中、手部刮痧等举措，后12：00时左右120到达现场前往简阳市中医院。</t>
  </si>
  <si>
    <t>孙振国</t>
  </si>
  <si>
    <t>2024年8月7日凌晨00:45分左右，洛阳转运中心员工孙振国驾驶非机动车上班途中，于洛阳市孟津区平乐镇三川大道辅路（园区外），撞上停靠在路边的挂车（车牌号码：豫CR5019,挂车号码：豫CX198挂），发生事故，双方车辆受损，孙振国受伤。交通事故责任认定书暂未出具。据员工配偶反馈，后续孙振国驾驶非机动车自行回家后，随前往洛阳市孟津区中医院救治，经诊断为:开放性颅脑损伤中型。</t>
  </si>
  <si>
    <t>杨迎军</t>
  </si>
  <si>
    <t>中山转运中心今日发生一起因上级中心未安装重下轻上原则装货导致上层快件（内件为灭火器）掉落砸伤卸车人员的事故。</t>
  </si>
  <si>
    <t>齐晓勇</t>
  </si>
  <si>
    <t>2024年8月8日，江西南昌转运中心员工齐晓勇在工作中突发身体不适中暑晕倒，事件发生第一时间，中心组织人员送往医院治疗</t>
  </si>
  <si>
    <t>方亮</t>
  </si>
  <si>
    <t>8月8日17时00分37秒进港一班前台卸车员方亮在卸郑州加班车接近尾声时,该员工违规攀爬到车内包上卸货,在往伸缩机上甩包时脚下未踩稳摔落下来,导致右侧胳膊桡骨小头骨折。</t>
  </si>
  <si>
    <t>安保军</t>
  </si>
  <si>
    <t>邹广平</t>
  </si>
  <si>
    <t>该员工从大连市甘井子区泉水往后盐方向骑着电动车在非机动车道上行驶上班的过程中，在大连甘井子区泉水街道博思中学对面被后方来的机动车刮蹭，导致摔倒，多处擦伤！</t>
  </si>
  <si>
    <t>于庆辉</t>
  </si>
  <si>
    <t>郝恩照</t>
  </si>
  <si>
    <t>8月10日19时许出港正值货量高峰，出港一号大货线体货物拥挤，货物流出环线经过哈尔滨卡位时拥挤到地上，正好砸在试岗员工郝恩照脚上，我方管理人员立即安排送往阳曲县人民医院。阳曲县人民医院经过检查后确诊为左足踇趾趾骨骨折，述经过简单包扎后转院至山西医科大学第二医院做的手术，目前该人员还在住院中，根据本人描述情况良好，无其他不适。</t>
  </si>
  <si>
    <t>李猛</t>
  </si>
  <si>
    <t>“8.11”装卸工出租屋亡人事件简介：2024年8月11日徐柳村委通知申通员工李猛在出租屋内死亡，死亡原因派出所调查中。
李猛个人信息：男，32岁，河南人，入职未满1月，装卸岗位。其父亲过世，母亲患有精神疾病，上有2个姐姐。8月5日请假半天，之后连续旷工3天，人资未联系到其本人，8月11日接到村委关于李猛死亡通知。</t>
  </si>
  <si>
    <t>刘文书</t>
  </si>
  <si>
    <t>04时05分，细分回流处理员邓果将车停放在广安
线与NC交叉带之间，然后去分货，后台装车员刘文书（工号：1264267）不知为
何去开动三轮车，撞上流水线护板，后去南充市中医医院治疗，诊断为挤压伤：
左手拇指动脉、神经断裂，左手拇指指间关节开放性脱位，左手拇指末节指骨开
放性撕脱性骨折，左手拇指屈、伸指肌腱止点撕脱断裂。</t>
  </si>
  <si>
    <t>何轩</t>
  </si>
  <si>
    <t>苟亚会</t>
  </si>
  <si>
    <t>8月17日上班途中，下午16:30骑电车行驶至安大线南宋村口时，不小心撞到停在路边大货车，司机第一时间打电话将其送往医院，现在医院输液，无大碍。</t>
  </si>
  <si>
    <t>张德伟</t>
  </si>
  <si>
    <t>8月19日22点55分。进港晚班前台卸车员张德伟在卸（浙
A9S371）时快件十公斤装货物上面掉下砸到右脚；事情发生后现场班
长和主管第一时间把受伤员工送到深圳宝田医院进行医疗检查。诊断
结果：左足第一趾远节趾骨远端骨折，周围软组织肿胀；</t>
  </si>
  <si>
    <t>卓根德</t>
  </si>
  <si>
    <t>陈飞</t>
  </si>
  <si>
    <t>8月20日5:07陈飞在执行分拣大件过程中，突感胸闷不适，随即，现场管理其至办公室休息观察，经过10分钟休息观察未见缓解，班长随即将其送至浦东医院，经诊断为急性冠脉综合征，建议进行住院手术治疗，当日进行手术，病情稳定。</t>
  </si>
  <si>
    <t>金冰尧</t>
  </si>
  <si>
    <t>08月21日凌晨04:12分，福州转运中心正式工金冰尧（工号：1240673）在破损处理岗位上班时间段，想去进港一楼二号线拐弯处进行疏通快件。在疏通快件进行拉包，包裹撞击输送带护栏板，导致栏板掉下，砸伤了该员工脚趾，及时送往上街镇中心卫生院进行诊断检查：左足第1、2趾骨近节及左足第3趾骨中节中段见透亮线，第1趾骨近节断端见数个骨碎片分离；余足部构成骨骨未见明显骨折征；足部各间隙关系尚正常。后转入福州市第二人民医院进行手术治疗，暂时医疗费用15000元。21日中午手术已完满进行，员工正在医院进行康复观察。</t>
  </si>
  <si>
    <t>李选召</t>
  </si>
  <si>
    <t>8.23日，5号卸货口员工李选召（工号1275758,25周岁）在9点32分左右卸货过程中，拉货时旁边一个快件滑落砸伤脚趾，经送医检查初步诊断右脚小拇指最前端骨折。监控视角未拍摄到事故发生具体情况。</t>
  </si>
  <si>
    <t>柳州转运中心</t>
  </si>
  <si>
    <t>梁金麒</t>
  </si>
  <si>
    <t>员工在2024年8月22日23点44分在场地外面围墙休息，一直到23点51分时身体不适倒下，夜宵休息之后1点钟上工，发现少了员工，直到2024年8月23
日1点出来寻找是发现员工倒下在围墙旁边，发现已经没有呼吸。随后组长主管即呼叫救护车。</t>
  </si>
  <si>
    <t>梁玉龙</t>
  </si>
  <si>
    <t>兰州转运中心</t>
  </si>
  <si>
    <t>触电</t>
  </si>
  <si>
    <t>赵和威</t>
  </si>
  <si>
    <t>2024年8月23日，14:00许，兰州转运中心变压器厂家和施工方停电检修期间，电工刘小刚和赵和威配合检修，清理柜组时，赵和威不慎被电击伤后倒地，立即拨打120送到附近中核504医院，医院初步检查结果为：人员神志清楚，右上肢可见皮肤黏膜损失，双肺音粗，心率不齐。赵和威本人要求转院到兰炼医院治疗，已经联系120转院，伤情待进一步确定。</t>
  </si>
  <si>
    <t>韩宗孝</t>
  </si>
  <si>
    <t>都安俊</t>
  </si>
  <si>
    <t>2024 年 8 月 24 日 6 时 49 分左右，夜班细分拉件员都安俊（工号：1261007）在食堂排队买餐时意外晕倒，稍作调整后爬起前往餐桌就餐，然而却再度昏倒。此时，都安俊意识属于清醒，但四肢却无力支撑身体。发现这一紧急情况后，都安俊被火速送往人民医院。在医院，其脑部、胸部均接受了 CT 检查。由于现场测量血压过低，都安俊被及时送入抢救室进行输液观察。经检查，脑部、胸部 CT 显示均无异常。</t>
  </si>
  <si>
    <t>王跃风</t>
  </si>
  <si>
    <t>8月24日9时57分许进港三号线货量高峰，货物拥堵导致流水线压死，员工在疏通线体时不慎夹伤左手，经诊察左手中指末节软组织缺损左手环指末节不全离断伤；接到受伤通知后中心安全员立即带领员工王跃文去当地县医院救治，县医院推荐去显微手外科医院做植皮手术，随后转院至显微手外科医院；现手术已完成，员工在医院住院观察。</t>
  </si>
  <si>
    <t>廖加峰</t>
  </si>
  <si>
    <t>2024年8月25日20时42分，破损处理员廖加峰（工号：1262960）在O型交叉带3区二层前往一三层处理破损件时，右脚踩在环保袋上不慎打滑，当场疑似崴伤。随后前往简阳市中医院治疗，被诊断为右足第5跖骨底部骨折。</t>
  </si>
  <si>
    <t>袁其生</t>
  </si>
  <si>
    <t>2024年8月27日晚上4：36分，淮安转运中心员工袁其生，在进港北回流人工口位置进行疏堵作业时。便与员工##一起拉皮带机，被异形件划伤手部，右中指肌腱断裂</t>
  </si>
  <si>
    <t>2024 年 8 月 30 日 9 时 30 分左右，白班细分拉扫员张龙（1146204）在进港三号库拉件扫描时身体不适进行休息，发生强烈呕吐、四肢无力，意识清醒，但情况略严重。发生这一紧急情况后，现场主管（宋政）及行政助理（肖福根）紧急将人员送往简阳市中医院。</t>
  </si>
  <si>
    <t>李鹏飞</t>
  </si>
  <si>
    <t>2024年8月30日5点46分，员工李鹏飞下班时在A1库5、7线库房外下楼梯时不小心从扶梯上摔下，去医院检查，检查结果疑似左足骨
折，需要进一步检查确认治疗。</t>
  </si>
  <si>
    <t>谢建</t>
  </si>
  <si>
    <t>2024年8月31日凌晨1：26分，在出港倒包台一区，员工拆包时用小刀作业划伤自己小臂，事发后现场班组长立即把受伤员工送往医院，花费两百三十多元，员工并无大碍，目前已回宿舍休息。</t>
  </si>
  <si>
    <t>应振帮</t>
  </si>
  <si>
    <t>2024年8月31日，20:49:44.夜班出港员工应振帮(工号1162247)，在去卫生间返回自己岗位（因其要去线体里面翻面单及转弯处负责疏堵，现场无法架设跨梯，高度不允许），输送带已关停，但该员工还是不慎摔倒导致胯部骨折。</t>
  </si>
  <si>
    <t>王景龙</t>
  </si>
  <si>
    <t>陈丽/戢惠</t>
  </si>
  <si>
    <t>2024年9月1日下午18：30分左右，夜班自动化供件员陈丽（1144117）及夜班自动化供件员戢惠（1272555）来公司上班途中，陈丽、戢惠骑行小型电瓶车直行时在简阳市石桥E家天下A区悦来私宴门口被一辆白色小轿车左转撞倒（据现场描述，员工发现左转小轿车时已停止行驶且不停按动喇叭示意，但轿车驾驶员未停止行驶），现场第一时间报警备案，随后人员立即前往简阳市中医院。
检测后-戢惠（1272555）左膝左肘皮肤擦伤，-陈丽（1144117）需进一步CT检查得出结果。</t>
  </si>
  <si>
    <t>王乃高</t>
  </si>
  <si>
    <t>2024年09月02日下午16：30分，淮安转运中心员工王乃高（男，29岁，工号:1251282，工龄：半年），在新场地大货区作业时，被快件砸伤脚部，外伤后左足疼痛、活动受限。</t>
  </si>
  <si>
    <t>谢露</t>
  </si>
  <si>
    <t>2024年9月3日01时15分，自动化供件员谢露（工号：1164182）于简阳3库O型-供件台1-14-42处前往3-14供件台时，在上爬梯过程中右脚不慎在爬梯上打滑。随后，谢露被送往简阳市中医院接受治疗，经诊断，其第1至3腰椎右侧横突处可见骨皮质连续性中断。</t>
  </si>
  <si>
    <t>人亡事故</t>
  </si>
  <si>
    <t>刚刚哈尔滨中心内，大庆网点装卸工在场地内被伸缩机砸到导致死亡，目前120，110均已到现场，哈尔滨中心安全员正在处理，正式上报文件需等待配合公安调查完毕后才能出</t>
  </si>
  <si>
    <t>张广栋</t>
  </si>
  <si>
    <t>2024年09月03日下午21：21分，泰州转运中心员工张广栋（男，35岁，工号:1282697，8月5日入职） ，在皮带机拉异形件时，异形件从皮带机上掉落砸伤脚趾，医院诊断：右脚第一、二末节骨折</t>
  </si>
  <si>
    <t>许洪彬</t>
  </si>
  <si>
    <t>2024 年9月5日下午6:24许洪彬(工号：1266864）从家里出发，6:35在南充市南充市高坪区物流大道与313乡道交叉口东100米信智城外人行道处，边抽烟边等红绿灯，等信号灯变成绿灯，就过红绿灯，过红绿灯途中，在人行道上被小型货车撞倒，事故后被送往第五人民医院治疗，目前多根肋骨骨折，具体诊断医院还未出具。</t>
  </si>
  <si>
    <t>张磊</t>
  </si>
  <si>
    <t>济宁转运中心9月8日凌晨0点56分，细分回流员工张磊在天津出港月台伸缩机搬运货物过程中，由于货物体型较大，在躲避货物时，不幸从三轮车上摔倒，马上联系出港梅兴强班长，班长立刻开车将员工送往济宁人民医院东院区，并将事情经过告知夜班主管李明鑫，经医院检查，鉴定后脚跟骨裂，需要手术治疗。</t>
  </si>
  <si>
    <t>尹华金</t>
  </si>
  <si>
    <t>2024年9月9日早上5点11分，唯品会出港场地细分拉扫员尹华金（工号1144691）在唯品会出港1号线位置处，现场6S清理，对设施设备边角料进行清理时，由于物体较重，在进行抬起动作时无法承受物体重量，最终导致被重物砸伤（左手无名指），检查结果为左手无名指-手指损伤，皮肤皲裂，手骨折。</t>
  </si>
  <si>
    <t>冀磊</t>
  </si>
  <si>
    <t>2024年9月8日下午17:50冀磊（工号：1120613）给王志飞班长打电话说晚到一会，骑电车从段家营出发，路过公司西门时看到有车辆经过，升降杆
未落，就从西门进入，从未走过西门，不知起落杆处有个小斜坡，未及时刹车导致骑车摔倒，面部着地，右侧脸部和鼻梁有擦伤，前门牙活动，流鼻出血。当时行政人员余梅正好经过此处并拨打120报警，后联系到班长王志飞，主管尹华去西门处理。20分钟后120到场，当家哥哥冀鹏陪同送去就医.</t>
  </si>
  <si>
    <t>蒋鹏</t>
  </si>
  <si>
    <t>马祥</t>
  </si>
  <si>
    <t>2024年9月9日凌晨01：50分，淮安转运中心员工马祥（男，36岁，工号:1165005，工龄：2年），在新场地进港区域行走时，被支撑架底边支
撑架绊倒，脚趾疼痛，下班后到医院检查，经医院诊断左足大踇趾近节趾骨骨折。预计费用一千元左右。</t>
  </si>
  <si>
    <t>王国春</t>
  </si>
  <si>
    <t>2024年09月09日上午11:34分，福州转运中心正式工王国春（工号：1263582）在前台卸车上班时间段，卸车时被车厢内上层掉落下来的大件包裹砸到背部，导致前胸与伸缩机相撞。当时并未大碍，员工回去休息一天过后还是胸痛。后送往福建省第三人民医院进行诊断检查：前胸部未见明显轻微骨折，少量胸腔积液，少量炎症，暂时医疗费用3500元。医生建议办理住院一周，员工现已办理住院进行康复观察。为防意外，谨做工伤报备！</t>
  </si>
  <si>
    <t>张云朋</t>
  </si>
  <si>
    <t>2024年9月12日早上4点14分，江阴转运中心夜班散件员张云朋（29岁，工龄4年）疏堵包裹作业，下平台时踩空，摔伤。长寿医院经诊断：右下肢皮肤撕脱伤，需缝针和打破伤风住院观察治疗。</t>
  </si>
  <si>
    <t>钱臻</t>
  </si>
  <si>
    <t>东莞转运中心</t>
  </si>
  <si>
    <t>李省</t>
  </si>
  <si>
    <t>2024年9月12日4点40分。进港晚班拆包倒包组组长李省在疏通流水线时，左脚绊到掉落在地上的快件导致左脚掌扭伤；事情发生后现场员工和主管第一时间把受伤员工送到虎门滨海湾医院进行医疗检查。诊断结果：左足第4跖骨远端骨折，周围软组织肿胀，使用高分子夹板外固定4-6周，消肿止痛治疗，一周复查一次</t>
  </si>
  <si>
    <t>何作宝</t>
  </si>
  <si>
    <t>张峻华</t>
  </si>
  <si>
    <t>2024年9月13日21时24分进港夜班员工张峻华，在拆包操作过程中意外割伤大手指，员工第一时间上报现场班长，班长观察员工受伤情况后第一时间将员工转送至盘山县人民医院进行检查，检查结果为大手指肌腱断裂，需要手术治疗，费用5000元左右</t>
  </si>
  <si>
    <t>李跃先</t>
  </si>
  <si>
    <t>2024年9月13日11:45分左右，沈阳转运中心员工李跃先在卸浙江温州转运中心车过程中，被上方的5KG滚筒重货件单号（773309106037635）砸到脚面，当时脚趾受伤。随后去沈阳苏家屯中心医院检查脚趾骨折。员工当时想保守治疗，但9月14日员工家属找到中心说要做手术，需要报工伤。</t>
  </si>
  <si>
    <t>河北</t>
  </si>
  <si>
    <t>邯郸转运中心</t>
  </si>
  <si>
    <t>赵转梅</t>
  </si>
  <si>
    <t>2024年9月24号早上5点47左右。员工下工件台爬梯时不慎摔倒，感觉没什么事休息了一会，下班回家浑身疼痛去医院检查未见异常。25日又去医院复查背部软组织受伤。下午联系当天操作班长主管转运中心经理。</t>
  </si>
  <si>
    <t>王浩</t>
  </si>
  <si>
    <t>牛安军</t>
  </si>
  <si>
    <t>2024年9月25号早上6点30左右，员工骑电动车回家途中，精神不集中，未仔细观察路况。撞到停靠在路边的大货车尾部，回家后家人将其送往医院，目前正在医院接受住院观察。</t>
  </si>
  <si>
    <t>非责任火灾</t>
  </si>
  <si>
    <t>室内火灾（一楼）：员工周广发、熊克周、赵小峰、龙克文，从增城卡位往一楼南经过时发现头顶线路有火花，冒烟，马上上报班长主管，随即中心安全员黎冠豪、主管何亚江到达现场，并联系物业周长江关掉电源总闸，使用灭火器扑灭室内火灾。
室外火灾（变电房）：发现变电房冒浓烟，消防队员进行灭火操作，火灾已扑灭。</t>
  </si>
  <si>
    <t>刘洋</t>
  </si>
  <si>
    <t>10月2日凌晨 4点26时许，试岗员工（刘洋、27岁，身份证231026199707010615）在哈尔滨出港场地杭州杭州装货口车厢内装货，在装货过程中，左手食指被伸缩机夹伤，事故发生后，代班长朱雪健了解情况后跟出港主管汇报，出港主管马上开车将刘洋送到哈尔滨市第五医院医院，经医生诊断为左手食指第一节需截肢。</t>
  </si>
  <si>
    <t>樊清奎</t>
  </si>
  <si>
    <t>2024 年 10 月 7 日 12:30 左右，白班细分扫描员樊清奎（工号：1290616）下班途中在简阳市亿联国际商贸城红绿灯十字路口途中驾驶（普通二轮摩托车，持有D证、头戴头盔）绿灯直行过路口被转弯车辆（小型普通客车）撞倒，前往中医院治疗最终结果左侧胸部后肋骨骨折。</t>
  </si>
  <si>
    <t>樊祥华</t>
  </si>
  <si>
    <t>2024年10月9日晚上22点46分，粗分驳货员员工樊祥华（工号1293179）于简阳出1F装车外围2库1层-出港倒货区-1位置，车辆卸车人员装货完后提醒司机发车，后面樊祥华路过查看包件，发现错包（需要过机安检的包件）进行抽包，司机前期收到发车指令准备正常发车（司机收到结束指令，但未下车检查一周），最终导致员工在拉包时随车跳下月台。</t>
  </si>
  <si>
    <t>李江露</t>
  </si>
  <si>
    <t>2024年10月11日上午9点49分左右，白班细分扫描员李江露（工号：1148122）在监控位置（出1F卸车外围1库1层-小件卸货口-1）位置卸倒货车时，在伸缩机前端站立不稳踩空踩滑，从伸缩机前端摔落。随后立即送往简阳市中医院进行治疗，检查结果</t>
  </si>
  <si>
    <t>张帅</t>
  </si>
  <si>
    <t>2024年10月8日下午16点40分左右，洛阳转运中心员工张帅在驾驶非机动车上班途中，于河南省洛阳市孟津区白横线自西向东行驶至杨凹村附近时，被对向违规超车的小型汽车撞倒，发生交通事故，造成张帅昏迷，后其被送至洛阳市孟津人民医院。10月9日中心人资发现其考勤异常，随对接现场班长、主管。现场班组长、主管到场当面尝试联系，但电话始终无人接听，后续人资、主管、班长一直尝试联系其本人及家人，但均无法取得联系。2024年10月14日，现场班长至人力资源部反馈，其与张帅取得联系，张帅未出勤原因为2024年10月8日晚上班途中发生交通事故，当时处于昏迷状态，现已清醒。目前交通事故责任认定书未出，张帅在洛阳市孟津人民医院治疗，经诊断为：开放性颅脑损伤。</t>
  </si>
  <si>
    <t>高明华</t>
  </si>
  <si>
    <t>2024年10月16日凌晨4点04左右，夜班卸货前台卸车员高明华（工号：1287724）在监控区域位置（进出1F卸车DWS卸货口）等待卸车，网点车辆川AHK853（广汉网点车辆）进行靠台，正在进行停车位置调整时，我方员工高明华开始操作伸缩伸缩机向前，车辆移动导致员工从月台跌落。员工摔倒后头部出血，立即拨打120，送往简阳市人民医院进行治疗，检查结果为：右额颞叶脑挫裂伤伴周围少许水肿，蛛网膜下腔出血、左颞顶枕骨、右眶小骨骨折。</t>
  </si>
  <si>
    <t>刘科学</t>
  </si>
  <si>
    <t>2024年10月14日凌晨，西安转运中心员工刘科学在装卸口装车时，踩踏在伸缩机前端进行作业，不慎将脚滑到前端与皮带接口处，导致左脚夹伤，随后其被送医救治，医院诊断皮外伤，开药让其回家休养，10月15日早上，该员工发现脚部伤势有些加重（持续肿胀），大区人资及安全专员将其送往市第一人民医院进行检查，医生要求留院治疗，随后该员工联系家属进行陪护。</t>
  </si>
  <si>
    <t>王海亮</t>
  </si>
  <si>
    <t>段炎</t>
  </si>
  <si>
    <t>2024年10月13日晚上00:02分，泉州转运中心出港装车员段焱（工号：1282926）在合肥装车口装车时由于需要码货的情况下，站在伸缩机前端进行装车，导致小腿被伸缩机前端的滚筒处卷入,现场员工陪同送往医院进行治疗，经医院诊断为肌肉拉伤，医疗费用暂200元。</t>
  </si>
  <si>
    <t>江涛</t>
  </si>
  <si>
    <t>哈尔滨转运中心夜班主管江涛于今日18点在寝室晕倒，已叫救护车，救护车初步诊断脑出血。现以送到哈尔滨市医大二医院进行诊治。抢救无效死亡</t>
  </si>
  <si>
    <t>王剑波</t>
  </si>
  <si>
    <t>2024年10月19日02时45分进港中班前台卸车员王剑波（工号1282937）于进港一号卸货口卸（江阴-晋城-太原、任务号82241302971、车牌号沪GC5589)时未注意到顶部铁器掉落，不慎砸伤左脚；随后我方管理人员开车送至阳曲县人民医院治疗，经阳曲县人民医院诊察，该员工左足拇指骨折。因阳曲县人民医院不具备手术条件，现已转院至山西医科大学第二医院西院进行治疗。目前伤口肿胀，医生建议消肿后做钢板内固定术治疗。</t>
  </si>
  <si>
    <t>杜秋</t>
  </si>
  <si>
    <t>2024年10月19日下午17时46分盘锦转运中心进港班前点名期间
发生员工身体不适事件（症状：不会说话，流口水）员工姓名：杜秋；性别：
女；年龄：49岁；岗位：人工小件集包员；工号：1008081，事件发生后进港夜
班主管林树赞第一时间将员工送至盘山县人民医院，并及时上报中心经理与中心
安全员，经医院检查为脑部出血，目前正在治疗中。</t>
  </si>
  <si>
    <t>碰撞</t>
  </si>
  <si>
    <t>于洋</t>
  </si>
  <si>
    <t>2024年10月24日7:20分左右，报在群里具体时间为22：38分（附图一）姓名：于洋，工号：1282207，职位：班长，因快递掉落在楼梯下方最里面位置，钢平台下方，处于死角位置，在捡起的时候，头碰撞在皮带铁板处割伤，五厘米伤口，缝合9针。</t>
  </si>
  <si>
    <t>谢宗平</t>
  </si>
  <si>
    <t>2024年10月22日凌晨两点四十分左右员工～谢宗平～在出港天桥线改装回流扫描上楼梯时因踏空崴到左脚，员工下班后因疼痛去乡镇卫生院检查，结果未见明显骨折，后续需要复查。至23日因实在疼痛又去余姚市人民医院检查，报告诊断结果：左足外侧楔骨、第2、4跖骨骨折；内侧及中间楔骨撕脱性骨折打了石膏，医生嘱咐需要休养30天，仍需复查</t>
  </si>
  <si>
    <t>王东梅</t>
  </si>
  <si>
    <t>王东梅、女、工号1244026、电话15933567081，（中心出港组九号线员工、组长 徐雪鹏 ，工号1168651，电话15188648687）
2024年10月24日晚23点18分55秒，在安检机前方线体捡件时，不慎被夹伤左手中指前端。23点40分组长带其到达大王店卫生院进行处理，医生建议去医院拍片诊断。25日1点7分到达保定市第一中心医院挂号拍片，3点25分检查结果显示左手中指远节指骨轻微骨折，周围软组织肿胀，目前在医院治疗。</t>
  </si>
  <si>
    <t>朱立国</t>
  </si>
  <si>
    <t>2024年10月25日，9点22分江阴转运中心员工朱立国，在进港13号线车厢手拽皮带导致右手大拇指夹伤</t>
  </si>
  <si>
    <t>张杰</t>
  </si>
  <si>
    <t>增城转运中心机修张杰（工号：1247196）于25日早上9:13分下班返回宁西街自租房途中，驾驶摩托车正常直行与突然并入车道校车发生碰撞，人员从车上滚落地上，现已送往医院进行检查，目前员工尚有意识，但无法动弹，具体报告，等该员工检查结果出来再行提交。</t>
  </si>
  <si>
    <t>覃培鸿、覃皇瑜、吴勇</t>
  </si>
  <si>
    <t>2024年10月24日22时13分，中班员工覃皇瑜、吴勇，搭乘覃培鸿驾驶的电动自行车，在上班途中，行驶到中山市沙溪镇隆兴北路沿长线沙朗涌桥段时，被社会车辆追尾，肇事车辆逃逸，随即覃培鸿（伤势较轻）打120急救电话将三人送往中山市中医院治疗，诊断结果为:
覃培鸿：顶部及右额部头皮挫伤。（已出院）
覃皇瑜：右顶骨凹陷性骨折，右眼框上壁骨折，右额顶部颅骨内板下少许积气；双侧顶部、右额部一眶周皮下软组织挫伤等。（住院治疗中）
吴勇：左侧骨盆骨折，右侧鼻骨骨折，多处皮肤浅表擦伤，额面开放性伤口。（住院治疗中）
2、目前因肇事车辆逃逸，交警正收集材料开展调查，交通事故责任认定书尚未能开具。
请知悉。</t>
  </si>
  <si>
    <t>王朝立</t>
  </si>
  <si>
    <t>在2024年10月26日凌晨04：20分时员工王朝立在异形流水线作业时，身体不适突然直接坐倒在地上，随后组长吕春阳联系现场员工将该员工抬到应急站，该当班主管及安全员询问当事人情况进行血压测量为偏高（高压：157，低压107），随后现场人员在04：25分拨打市中心急救电话120送往医院治疗，该员工家属贾松芝（老婆）陪同至市医院进行救治。</t>
  </si>
  <si>
    <t>谢东豪</t>
  </si>
  <si>
    <t>刘斯尼</t>
  </si>
  <si>
    <t>2024年10月28日02:37分左右，沈阳转运中心自动化集包员（1217927）刘斯尼，负责循环清场过程中（在未关机状态下），用棍子清场时没清出快件，棍子卷入滚轮中一截，尔后员工违规在没关机情况下用手清理，随后右手被卷入滚轮。事情发生后班组第一时间送医院检查，经检查后显示员工右手食指和中指开放性外伤，食指比较严重，有截指风险，经员工和其家属沟通要求保住手指，后续需要做3-4次手术。</t>
  </si>
  <si>
    <t>关二磊</t>
  </si>
  <si>
    <t>2024年10月28日上午12:20分左右，漯河转运中心员工关二磊（工号1285877），在阳山路与龙江路交叉口至西向东龙江路段1公里左右处，驾驶两轮电动车由于挪动驾驶方向未观察后方车辆与后方驾驶电动三轮车员工李静华（工号1247931）发生碰撞，导致关二磊腰部脊椎骨折。</t>
  </si>
  <si>
    <t>朱志凯</t>
  </si>
  <si>
    <t>员工朱志凯从进港场地返回出港场地食堂就餐经过门口马路时，在斑马线处发生场外交通事故，随后被120带至盘锦县人民医院进行检查，交警部门一并到达现场处理，经医院CT检查员工头部擦伤，腰部骨折（目前以住院治疗，无需手术，医生建议静养三个月）</t>
  </si>
  <si>
    <t>喻修林</t>
  </si>
  <si>
    <t>2024年10月31号00:45分左右，中山转运中心前台卸车员工喻修林在卸快件过程中，由于前排整排快件倒下，员工躲避时胸部撞到伸缩机上，事后该员工感觉无碍也不向班长汇报，直至操作至早上六点钟，班长知晓后要求员工立即到医院检查查，检查结果为左胫腓骨近端粉碎性骨折，需要住院治疗。</t>
  </si>
  <si>
    <t>何明伟</t>
  </si>
  <si>
    <t>黎再梅</t>
  </si>
  <si>
    <t>2024年10月30号18:30分左右，中山转运中心晚班员工黎再梅开电动车在上班路上正常过红绿灯路口的时候被社会车辆撞到，发生事故后送到中山市东升医院治疗，诊断结果左胫腓骨进端粉碎性骨折，目前交警还未出具交通事故责任认定书。</t>
  </si>
  <si>
    <t>陈刚</t>
  </si>
  <si>
    <t>陈刚，男，38岁，工号1289432，9月10日入职，卸货组卸车员，11月1日6:55分卸南京到徐州的货厢(浙ACG94挂）时意外被掉落的快件
（772033431189347，由安徽滁州发往安徽淮北，内件铁器）砸到右脚大脚趾，坚持卸完车后汇报班长。目视伤处有肿大、渗血现象。随即送
医，拍片检查右足第一末节趾骨外侧基底部处骨折，医生建议修养1月余。</t>
  </si>
  <si>
    <t>武汉转运中心员工在伸缩机装车扫描时，不慎踩空，从平台摔落，导致头部磕碰地面，头皮出血已送往医院治疗。</t>
  </si>
  <si>
    <t>傅文俊</t>
  </si>
  <si>
    <t>刘铁成</t>
  </si>
  <si>
    <t>揭阳中心进港晚班员工（姓名：刘铁成，工号：1249932）在揭阳进港普宁南装货口工作时，注意力不集中，结果导致脚踩空，连同货物一起摔落至平台下</t>
  </si>
  <si>
    <t>申明宇</t>
  </si>
  <si>
    <t>2024年11月3日上午08：13：57进港员工申明宇工号1297204（10月20号入职，参加了新员工安全培训）在8号卸货口Z线处疏堵，因员工安全意识不强（临边作业）在疏堵过程中身体重心失衡左脚意外踏空导至背部刮伤。</t>
  </si>
  <si>
    <t>邵丙风</t>
  </si>
  <si>
    <t>11月4日凌晨 1点53分许，卸货口员工（邵丙风、48岁，身份证230121197606041811）在19号卸货口在给平板车卸货过程中，被倒塌货物挤落导致摔伤。当班主管及班长第一时间了解情况后，开车拉员工到平房区242医院就医，拍片显示右胳膊肘处骨折（右肋骨远端骨折）、身体其他处有挫伤，因242医院诊断医生没法确定是否需要手术或静养，11月4号8点，伤者去哈尔滨骨伤科医院进行确诊，中心派遣陈宗海陪同，到达医院后，医生进行确诊，需要手术治疗，在右胳膊打入2根钢钉。预计手术和住院费用2.5万元。</t>
  </si>
  <si>
    <t>罗满福</t>
  </si>
  <si>
    <t>2024年11月7号进港晚班员工（姓名：罗满福，工号：1278765）
下班后骑行机车回家，在回家的途中，被一辆汽车（黑色SUV）撞倒，
经过了解，该员工下班回家，机车在路上行驶时属于直行状态，汽车
在转弯时没有打转向灯，最终导致机车撞上汽车，员工受伤倒地，发
生事故后，现场班长（姓名：林炎杰，工号：1069022）第一时间赶
往事发地点，据现场班长反映，受伤员工有戴头盔并且持有行驶证，
机车本身也有牌照，发生事故后，汽车司机陪同受伤员工前往揭阳市
第二人民医院揭东区人民医院做身体检查，并且由汽车司机支付检查
费用1304.8元，目前受伤员工还在医院接受治疗，后续情况以及费
用需要等待检查完后才能知道，另外，员工机车以及汽车也被交警部
门拉走，需要等待交警部门出示具体的交通事故鉴定报告。</t>
  </si>
  <si>
    <t>自燃</t>
  </si>
  <si>
    <t>2024年9点43分，矩阵员工黄超英、王怀军发现快件在流水线着火，并马上跟着快件走，同时将情况反馈给何小康班长，因该快件刚好是流往B1-B2库连廊方向（涉及到高空），导致无法当场进行拦截，后王怀军就一直跟着快件，黄超英通知班长，快件通过连廊滑下到南沙线，随后南沙组班长李陈及时将着火快件拉下，同时班长李陈、班长李双、班长李雪、细分扫描员李晓可用灭火器将火扑灭。此次着火的快件为一组电池，单号为770217820238314，运输车辆
为：揭阳-中山（加班），司机姓名：周道坤，手机号码：15938277933。于上午9点26分靠台卸货。根据面单号查询该快件是由揭阳发往阳江，内件显示日用品。</t>
  </si>
  <si>
    <t>陈可风</t>
  </si>
  <si>
    <t>广东深圳转运中心人工理袋员陈可风工号1030080，该人员为贪图便利，违规从月台上方下途中胸口撞到下方环保袋通道机护栏，起初该人员感觉无大碍继续工作，下班后感觉身体不适告知主管，主管立即通知去医院进行检查</t>
  </si>
  <si>
    <t>张司丽</t>
  </si>
  <si>
    <t>出港供件台一区，下层供件台上分流水线，员工张司丽在清厂过程中未关线体，手伸入夹缝被线体夹伤，班组长第一时间把线体关停并用工具将手取出，于凌晨2:30 安全员陪同当班班长将受伤员工送去医院，3:00到达南昌县人民医院急诊。</t>
  </si>
  <si>
    <t>饶栋</t>
  </si>
  <si>
    <t>陈丽玉</t>
  </si>
  <si>
    <t>2024年11月6日晚上员工陈丽玉（1151669）19点26分上班路上突发交通事故，骑车撞到小车交警判定是同等责任，员工只是腿部轻微破皮并未造成更大的安全隐患，现员工以正常上班.</t>
  </si>
  <si>
    <t>庄演超</t>
  </si>
  <si>
    <t>茶银锁</t>
  </si>
  <si>
    <t>2024年11月11日凌晨2点16江阴华士场地航空组茶银锁(男40岁，工龄4个月）从饮水机返岗，从马道下爬梯时，突然头晕无意识，从马道爬梯口摔落受伤。江阴市人民医院诊断：头部损伤，左侧肋骨骨折。目前伤者在医院治疗。</t>
  </si>
  <si>
    <t>苏来林</t>
  </si>
  <si>
    <t>2024年11月11日13：15分泰州转运中心苏来林（男56岁，工龄10.5年）骑电瓶车返回公司（戴头盔、有牌照）在运河路4号桥附近摔伤，员工回复是疲劳，骑车打瞌睡，不慎摔伤，目前已由其儿子带去医院做检查。</t>
  </si>
  <si>
    <t>张群</t>
  </si>
  <si>
    <t>2024年 11月12日05时29分，员工张群在贵阳进港2号库白云网点进行流线作业时，由于双十一期间货量较多大件上的PP塑料打包带掉落在员工工作区域，当事人在活动时没注意脚下得PP塑料打包带绊倒在地，当事人当时感觉还能坚持，就没有上报，后到7:27分员工感觉走不到路，疼痛难忍上报主管，主管了解情况后第一时间带领员工到龙里县人民医院进行检查；经检查：双膝关节正侧片未见明显骨折现象，15号进行核磁共振检查。</t>
  </si>
  <si>
    <t>晏明华</t>
  </si>
  <si>
    <t>11月12号中午12：59。进港北面二区爬坡线，进1F矩阵通道去3号线转弯区，员工晏明华在停机状态下进行梳堵，由于班长李建武操作失误调制成远程模式开机，员工由于惊慌直接从流水线上跳下来，导致员工左脚骨折。当时有员工上报给主管，负责人没有第一时间上报给安全部，晚上21：30左右才上报安全部。</t>
  </si>
  <si>
    <t>江佳勇</t>
  </si>
  <si>
    <t>在2024年11月12日凌晨23：50分时现场安徽线操作协管江佳勇发现在出港停车场地内有辆网点9.6米车头内发生自燃，随后通知现场班组长（李志委，杨继波，黄荣发）进行灭火，经过二次灭火扑救在00：15分时车头火情得到控制消除后，现场组长汇报至主管及安全员，安全员得到消息后第一时间同步至省安委会群内，并通知网管联系网点人员处理后，在01：00时发现该车辆发生第二次自燃，第二次自燃过程由于火情较大得不到控制，随后现场人员拨打119消防队电话进行第二次灭火，在01：30分左右火情已扑灭并得到控制。</t>
  </si>
  <si>
    <t>林纪彬</t>
  </si>
  <si>
    <t>2024年11月12日晚上22:53:43郑州转运中心员工林纪彬在卸平板车过程中，不慎摔落，视频监控显示，该员工在卸货过程中站在货物上进行卸车作业，未使用卸车踏板，因下雨天现场比较湿滑，在卸其中一个编织袋时，身体失去平衡导致从平板车上摔落。</t>
  </si>
  <si>
    <t>沈占红</t>
  </si>
  <si>
    <t>2024年10月13日早上07：05分左右，淮安转运中心航空港DWS员工沈占红（女，48岁，工号:1286119，） ，在航空港操作结束后5点40分到宿舍洗完澡后，6点45分开小型四轮电动车从厂区大门出发回家，员工家住在朱桥街上路程25分钟。员工自述因瞌睡撞到淮流路上斜的电线杆上，离家还有3分钟路程。当时是路边行人拨打110、120到淮安区一院进行住院冶疗。员工受伤到医院看诊被诊断左侧第3、4、6前肋不全骨折可能。结合临床，必要时复查。休息2周，中心安全员11:20接到班长黄绚勇电话后整理材料上报总部、省区、中心经理。后续工作更进。</t>
  </si>
  <si>
    <t>2024年11月14日，淮安天天场地食堂准备售卖自制油炸类食品早餐。6点许起锅下油，油锅持续加热起火；6:04帮厨发现火情后立马喊厨师灭火。厨师立即赶赴起火点关闭油锅电源、利用锅盖、灭火器扑救、同时拨打119报警电话。副经理田理论收到食堂起火事件后，立即组织公司内部员工，6:10到达起火现场实施灭火救援行动，6:16分将火扑灭。6:26分119消防大队赶至起火现场，了解事故起因及公司内部应急处置信息后，嘱咐后期操作安全后离开场地</t>
  </si>
  <si>
    <t>张长武</t>
  </si>
  <si>
    <t>2024年11月15日晚上18:38分，福州转运中心进港白，细分拉扫员张长武（工号：1254147）在进港一楼人工矩阵分拣区下面，因清理矩阵下面线体，头部碰到设备，发生了撞伤。人事部同事陪同送往医院进行治疗，经医院诊断为：头顶可见一长约5cm皮肤裂伤，医生进行伤口创伤清理消毒包扎、打破伤风疫苗针，目前员工已暂无大碍，医疗费用暂800元。</t>
  </si>
  <si>
    <t>杨丽</t>
  </si>
  <si>
    <t>员工（杨丽）上班骑电瓶车（戴头盔）沙宁公路通过路口，被闯红灯摩托车撞到。人无生命危险，人员发生事故后仍可以正常行走，目前已由现场班长陪同前往医院。</t>
  </si>
  <si>
    <t>沈阳中心大门口出现一起交通事故，受伤人员已送医，具体情况说明整理后上报</t>
  </si>
  <si>
    <t>吉安转运中心</t>
  </si>
  <si>
    <t>陈莲军</t>
  </si>
  <si>
    <t>吉安中心员工陈莲军（装车员）在出港温州装车过程中没注意接缝处，导致手指被夹伤，未伤到骨头，需要缝合6针，做个意外险报备，后续待进一步跟进。</t>
  </si>
  <si>
    <t>下班回家骑行电动车经过一潮湿路段地面打滑导致员工摔倒，随后自行去医院检查，诊断手骨骨折需手术，下午16：00打电话给主管左晶晶报告情况，主管随后给我打电话报告情况</t>
  </si>
  <si>
    <t>黎小艳</t>
  </si>
  <si>
    <t>2024年11月18日早上05点42分，人工挑件员黎小艳（工号1182596）在二楼NC交叉带饮水机旁消防防火门位置进入场地时，推门后手未及时收回导致左手大拇指被防火门闭门器夹伤。</t>
  </si>
  <si>
    <t>蔡新全</t>
  </si>
  <si>
    <t>2024年11月18日早上06时40分左右，后台装车员蔡新全（工号：1269678）在出港下班回家途中驾驶普通二轮摩托车，在简阳市简州大桥十字路口正常直行（人员持证未违规行驶），被左转小轿车撞倒，已报交警，前往简阳市人民医院治疗</t>
  </si>
  <si>
    <t>李林龙</t>
  </si>
  <si>
    <t>2024年11月20日晚上09:00分，福州转运中心进港中班，拆包到包员李林龙（工号：1196242）在进港二楼拆包到包区，9:00分在拆包倒包平台，拆包时被刀片割伤右小腿，当时员工感觉不严重，后面血液一直流下来，在9:48分主管报备给安全员处理才知晓，及时送往医院治疗，经医院诊断为：诊断为右小腿开放性伤口，进行伤口创伤清理消毒包扎、打破伤风疫苗针、目前已花费800元，后续需拆线及换药，预估总费用1200元以内，员工已暂无大碍。</t>
  </si>
  <si>
    <t>陈永辉</t>
  </si>
  <si>
    <t>田绿鹏</t>
  </si>
  <si>
    <t>2024年11月19日凌晨05:08分，晋城转运中心出港夜班，细分拉扫员田绿鹏（工号：1259569）在下班后回家的路上撞到停在路边的大货车导致当场昏迷，后路人拨打120急救电话后送至晋城市矿务局医院进行治疗，该员工截止现在仍在重症监护室昏迷中，后续需等待员工醒来后了解具体情况，中心对该事故进一步跟进中。</t>
  </si>
  <si>
    <t>葛鑫</t>
  </si>
  <si>
    <t>23号才上报（员工请假未及时上报）</t>
  </si>
  <si>
    <t>吴兴</t>
  </si>
  <si>
    <t>2024年11月22日徐州转运中心装卸岗员工吴兴（男34岁）装车（江苏车队浙G83235徐州发贵阳昆明班次），车辆移动时员工吴兴从车位摔落平台受伤。徐州市中心医院诊断：左侧7-12根肋骨骨折。事故原因进一步调查中。</t>
  </si>
  <si>
    <t>刘利友</t>
  </si>
  <si>
    <t>2024年11月24日，1：37分，南京转运中心拆包作业员刘利友，（男，45岁，2月29日入职），在进港二楼交叉带3区拆包平台上使用手工刀挑包裹拉链卡扣时，不慎划伤手臂，目测划伤手臂肌肉，目前已进行缝合手术，治疗费用750元。事故责任调查中</t>
  </si>
  <si>
    <t>庞丽红</t>
  </si>
  <si>
    <t>2024年11月27日凌晨1点35分左右，华东出港DWS扫描员庞丽红（ 35岁 ，女 工龄1。5年多）骑行二轮电动车下班途中，在网营门口被轿车碰到受伤，当时报警后，送到医院检查诊断左膝及左小腿软组织损伤，现在在家中休养。医院诊断证明建议休息3天。目前费用员工自行付了五百元左右。</t>
  </si>
  <si>
    <t>杜利金</t>
  </si>
  <si>
    <t>11月27日加班至20:30左右下班途中，与停放于路边的挂车发生碰撞受伤，报警后由120送往医院就医。伤者稳定后方上报中心。</t>
  </si>
  <si>
    <t>郭峣慈</t>
  </si>
  <si>
    <t>郭峣慈（岗位，细分拉扫员，实习生）2024年11月24日上午11:56时。在新拆包台上叠袋子子，因个人贪玩原因反复爬上线体（线体静止）跪着叠袋子，在第三次要落地时左脚踩空失去重心，导致整个人摔落至钢平台。受伤情况：骶骨轻微骨折。</t>
  </si>
  <si>
    <t>雷伟龙</t>
  </si>
  <si>
    <t>林铎琛</t>
  </si>
  <si>
    <t>林铎琛（岗位，细分拉扫员，实习生）2024年11月26日上午10:35时。在杏南卡口扫描分拣的时双手夹在背后同时倚靠在传送的交接处，导致手被卷入到流水线接缝处中。诊断结果：左手小指末端骨折变形。</t>
  </si>
  <si>
    <t>曹森</t>
  </si>
  <si>
    <t>19：10机修人员与现场班长吴超在出港维修六面扫设备时，设备突
然自行启动导致机修人员曹森手指夹伤。</t>
  </si>
  <si>
    <t>田刚</t>
  </si>
  <si>
    <t>2024年11月29日22点16分，在出港拆包平台，员工田刚拆包时用美工刀作业划伤自己左食指，事发后现场班组长立即把受伤员工送往咸阳市中心医院，医院初步诊断结果为手指开放性损伤，肌腱损伤，需住院2-3天，现由该员工家属陪同住院。</t>
  </si>
  <si>
    <t>薛朝生</t>
  </si>
  <si>
    <t>薛朝生（后台装车员），在出港四号库南昌卡位站在伸缩机末端装货时，被滚筒夹到脚。</t>
  </si>
  <si>
    <t>谭杨套</t>
  </si>
  <si>
    <t>张一恩</t>
  </si>
  <si>
    <t>张一恩（人工拆包倒包员），在进港一号库上拆包平台时没踩稳滑了一下当时无症状，到宿舍时脚开始肿了去医院检查发现左足第五节趾骨基底部骨折</t>
  </si>
  <si>
    <t>黄焱</t>
  </si>
  <si>
    <t>2024 年 11月 18 日 06:50 左右，夜班前台卸车员黄焱（工号：1276288）下班途中驾驶电动两轮摩托车在简阳市石钟镇方向，被相同方向小型轿车超车时撞倒，人员前往中医院进行治疗，最终结果为左侧颞骨线性骨折，颧弓骨折，左侧蝶骨骨折，肋骨多处骨折。</t>
  </si>
  <si>
    <t>班长迟报，中心已处理</t>
  </si>
  <si>
    <t>赵斌</t>
  </si>
  <si>
    <t>事故详细经过：2024年12月02日22时03分。出港后台装车9班，员工赵斌（工号1293827）于出港一楼7号线安检机处进行大货组分拣作业。由于货量高峰期，导致皮带拥堵停止运行。22:05分，员工赵斌在疏通过程中不慎夹伤左手。随后我方相关管理人员立即开车送至太原市山大二院治疗，经太原市山大二院医生诊查为左手食指第一指节骨折指甲盖脱落，需手术取掉指甲盖打钢钉处理。</t>
  </si>
  <si>
    <t>刘伟</t>
  </si>
  <si>
    <t>阜阳转运中心</t>
  </si>
  <si>
    <t>张为为、吕婷婷</t>
  </si>
  <si>
    <t>2024年12月3日5时45分，阜阳市东三环路上。张为为（1279213）、吕婷婷（1214091），两名员工共骑一辆电动车来上班的路上与轿车发生碰撞，目前两名员工已经送往医院，初步诊断为张为为头部出血，已经进行缝针处理，吕婷婷，头部多处挫裂伤腰椎骨折。张为为，头部多处挫裂伤，肋骨骨折</t>
  </si>
  <si>
    <t>方振东</t>
  </si>
  <si>
    <t>徐琼</t>
  </si>
  <si>
    <t>在下午14：30出港员工徐琼（1244547）在场地内钢平台底下打扫卫生时不慎摔倒，摔倒后去到附近的诊所诊断，诊断结果为肌肉拉伤，16：51时手腕已出现很明显的肿包，在下班以后，员工自己前往当地镇医院拍片，后续诊断为骨小梁断裂。员工需要修养至12月11号后去医院复查判断有无需要进行手术</t>
  </si>
  <si>
    <t>刘金山</t>
  </si>
  <si>
    <t>（刘金山 54岁 工号: 1253968 入职八个多月）进港装车扫描员早晚班(班次晚上20:00一00:30，早上6:30一12:30)家住建淮在上班途中在233国道撞到停在路旁的轿车，当时报警后，送到医院检查诊断右足足舟骨、内侧楔骨骨折。右胫腓骨局限性骨性小突起，请结合临床。目前费用员工自行付了两千元左右。</t>
  </si>
  <si>
    <t>宝安转运中心</t>
  </si>
  <si>
    <t>熊雅坤</t>
  </si>
  <si>
    <t>广东宝安中心异形件处理员熊雅坤，12月5日0:26分放异形件手滑，快件脱落，砸到脚趾，右脚大拇指趾骨骨折，上了护板，医生建议修养6-8周，目前花费165,3天后复查拍片。</t>
  </si>
  <si>
    <t>李家有</t>
  </si>
  <si>
    <t>员工李家有在装青岛车时不慎从伸缩机摔下来，前面员工掉下来自己以为是没什么感觉就继续工作，掉下来30分钟之后坚持不了才上报班长，左脚膝盖处肿起疼痛，10分钟后已安排送到医院救治，目前已带他在西院进行就医，后续情况我持续汇报！</t>
  </si>
  <si>
    <t>吴泰昆</t>
  </si>
  <si>
    <t>李付山</t>
  </si>
  <si>
    <t>出港员工李付山年龄56岁工号1221120，12月7号夜里凌晨六点下班以后回到宿舍准备吃饭突然晕倒。同宿舍人员拨打120，6.30分120来了由出港主管高成水和该员工同乡陪同拉到中心医院，7点10分医院公布抢救无效，</t>
  </si>
  <si>
    <t>邬建辉</t>
  </si>
  <si>
    <t>进港晚班晚班三合一员工，邬建辉，工号1293715，该员工在下班回家的路上，骑电动车经过南昌县丁兴大道上被小车追尾，对方直接肇事逃逸，现在已报警，员工已被救护车送往医院，后续检查结果为胸骨骨折，目前在医院治疗中。</t>
  </si>
  <si>
    <t>罗鹏</t>
  </si>
  <si>
    <t>李军</t>
  </si>
  <si>
    <t>2024年12月8日下午13点56分左右，白班粗分驳货员李军（工号：1287141）在成都转运中心卸货口35号回流线，下午上班关格口挡板的时候，在位置旁缝隙踩空了导致肋骨挤压，人员初期未发生明细痛感但在休息区休息，后面有强烈不适同步班长前往简阳市人民医院就诊</t>
  </si>
  <si>
    <t>程华晋</t>
  </si>
  <si>
    <t>2024年12月06日早5:30左右，程华晋夜班下班途中，出公司大门150米左右，突发情况昏迷，员工6:30左右发现，及时报告中心主管崔志龙，报120
及时送往阳曲医院，经医生诊断不具治疗手段，转院至太原市和平北路山西省人民医院。</t>
  </si>
  <si>
    <t>衡阳转运中心</t>
  </si>
  <si>
    <t>夏优平</t>
  </si>
  <si>
    <t>衡阳转运中心员工夏优平，昨天大约下午4.40左右在来上班途中骑自行车从斜坡摔下来了导致脑出血意识丧失10小时，脑挫伤，颅底骨折。衡阳县人民医院治疗无效12月9号凌晨送往衡阳市附二医院治疗中，12月8号才入的职。</t>
  </si>
  <si>
    <t>鲁建成</t>
  </si>
  <si>
    <t>洪胜利</t>
  </si>
  <si>
    <t>12月9日7:40拆包时，在二楼C区拆包平台上用手工刀挑包裹时扣不幸划伤手指；</t>
  </si>
  <si>
    <t>肖恒芳</t>
  </si>
  <si>
    <t>根据了解距离公司1公里左右鼎一科技十字路口，肖恒芳骑摩托车正常上班，对方骑摩托车闯红灯，撞到集包员工、摩托车没有停车直接开走了，时间07；40分钟左右，已经报交警，警察。主管第一时间到达现场，拍照留档送往医院医院诊断粉碎性。</t>
  </si>
  <si>
    <t>高爽</t>
  </si>
  <si>
    <t>2024年12月11日02：45武昌出港粗分驳货员高爽（工号1295702）在出港八号线作业结束后准备清场过程中为图捷径，违规从滑槽滑下，至右脚扭伤，以为无大碍，组长也未及时上报。今天早上该员工发现右踝骨处肿大去医院检查拍片右脚踝骨骨折才打电话给组长，组长才报至中心工伤紧急上报群。</t>
  </si>
  <si>
    <t>中毒</t>
  </si>
  <si>
    <t>邢花军</t>
  </si>
  <si>
    <t>12月11日晚上22:20左右石家庄转运中心副驾邢花军在车辆驾驶室内被发现死亡，发现其死亡时在车上发现了烧着木炭的火盆，120医生结论是一氧化碳中毒死亡。</t>
  </si>
  <si>
    <t>孙丽娜</t>
  </si>
  <si>
    <t>19：45员工孙丽娜下楼梯踩空摔倒，摔倒后感觉并不大碍，便继续回宿舍（盯安检机太冷跟主管汇报回宿舍加衣服）21点员工感觉右脚越来越疼便向组长说明，组长第一时间向主管汇报，带去医院。</t>
  </si>
  <si>
    <t>吴昂杨</t>
  </si>
  <si>
    <t>2024年12月11号晚上20点51分，员工吴昂杨装货过程中踩空摔落。《事情发生后员工没有第一时间上报，夜宵后00：30左右感觉不适再上报给班长余潇洒（工号：1257352）。随即将受伤员工送往附近揭东区妇幼保健院进行拍片检查，检查结果：右足第五跖骨基底部骨折，目前员工进行住院治疗，医疗费用后续待定。</t>
  </si>
  <si>
    <t>黄勇</t>
  </si>
  <si>
    <t>细分拉件员：黄勇，工号：1291459，该员工下午调休，中午下班回家时，在路上骑车自己摔伤，根据员工描述为：骑车撞到钢构棚铁柱上，铁柱倒下砸到头部，员工佩戴了安全帽，面部和手部造成骨折，属于单方事故，员工在自己到医院检查完了以后联系中心人事，人事给我打电话通知我。</t>
  </si>
  <si>
    <t>董贤臣</t>
  </si>
  <si>
    <t>陈国宏</t>
  </si>
  <si>
    <t>前台卸车员：陈国宏， 工号：1273776，该员工在卸货的过程中被圆柱形状的货物砸到右脚大拇指，被砸当时，员工并没有在意，任再继续卸货，18:38时接到班长电话，说员工被货物砸中右脚大拇指，现在大拇指有点肿，大拇指能活动，我现在将员工带到医院检查一下，特此报备</t>
  </si>
  <si>
    <t>毛远喜</t>
  </si>
  <si>
    <t>2024年12月14日12：21武昌进港员工毛远喜（工号1300431）在进港作业结束后，自动化集包清理环保袋过程中，该员工在己停止流水线上行走搬运环保袋，该员工麻痹大意未注意后端皮带正在运行，导至摔倒后手指夹到皮带交接区。后送医院拍片确症，未骨折，手指淤青，休养一星期</t>
  </si>
  <si>
    <t>徐厚全</t>
  </si>
  <si>
    <t>2024年12月15日中午11时59分，中班人工拆包倒包员徐厚全（工号：1219838），骑机动车（电动-A65042）下班回家期间，在成都转运中心外十字路口被四川成都双流区黄水公司喊的高栏4.2米货拉拉（川ABU5801）左转撞倒，现场立即拨打120送往简阳市人名医院进行治疗。</t>
  </si>
  <si>
    <t>肖海民</t>
  </si>
  <si>
    <t>港装卸工肖海民， 工号1299673该员工在出港装卸作业时意外崴脚，员工认为没有大碍继续工作。13日8点左右受伤员工去医院检查，确诊为撕脱性骨折。夜班主管汤海洋白天休息。</t>
  </si>
  <si>
    <t>杜少奇</t>
  </si>
  <si>
    <t>黄创锋</t>
  </si>
  <si>
    <t>2024年12月15日凌晨4点28分，员工黄创锋（工号1167086）在装车期间：从伸缩机右侧到达左侧时失去重心，手未扶稳导致摔落。受伤员工觉得无大碍没有第一时间上报，后续班长林晓兵（工号020090043）知道情况后第一时间带受伤员工前往附近揭阳市揭东区妇幼保健院进行拍片检查，检查结果：拟腕骨撕脱性骨折。</t>
  </si>
  <si>
    <t>牛运梅</t>
  </si>
  <si>
    <t>牛运梅（1221128）当日11：30骑行电动车下班回家。小型轿车由北向东行驶至事故地点左转，与由南向北牛运梅驾驶电动三轮车发生交通事故。</t>
  </si>
  <si>
    <t>马佳佳</t>
  </si>
  <si>
    <t>马佳佳（1108731）12：30下班 13：00分骑电动车回家路上，不小心摔倒，至左脚中指、无名指、脚趾头骨折。</t>
  </si>
  <si>
    <t>吴宝刚</t>
  </si>
  <si>
    <t>吴宝刚（男，操作班长）12月18日6：55下夜班回公司租赁的员工公寓途中与相向而来的电瓶车相撞，右腿受伤</t>
  </si>
  <si>
    <t>刘影</t>
  </si>
  <si>
    <t>进港供件台刘影， 工号1286854该员工在进港2f-交叉带-3f-1号供件台违规休息，被IT人员违规跳越供件台踩伤至脚脖处，员工非要坚持作业 ，第二天早上去医院进行检查 员工自述在8.27入职前 脚踝处曾受过伤害</t>
  </si>
  <si>
    <t>在 2024 年 12 月 18 日凌晨 02：15 分时，网点车辆开出来时，撞倒该网点卸车员工，当晚在 02：30 分时送往医院，目前无生命危险，
医院初步诊断该员工肋骨骨折，有伤到肺部</t>
  </si>
  <si>
    <t>液体腐蚀</t>
  </si>
  <si>
    <t>高华皊</t>
  </si>
  <si>
    <t>高华皊1249861（女，供件员）12月9日10：00左右在岗位正常操作，脚面被不明液体滴到，当时没有任何感觉，未向当班班长汇报，两天后皮肤溃烂疼痛去医院治疗。现在医院要求手术治疗，大姐才和班长汇报，班长第一时间向主管汇报。</t>
  </si>
  <si>
    <t>易燃易爆品起火</t>
  </si>
  <si>
    <t>进港1号线转弯机发件日期为12月16日、发件公司为杭州余杭区全恒德公司 。快件单号为777268073785835、汽车内饰胶（易燃易爆品）包装破损导致漏液。然后由于快件相互碰撞形成静电火花起火。</t>
  </si>
  <si>
    <t>陈加尚</t>
  </si>
  <si>
    <t>2024年12月20日12时40分左右，粗分驳货员陈加尚（工号：1254337），12月20日12：40分作业在中班下班骑摩托车回家从安石路(石钟往壮溪方向)超车时为避让对向来车，避让不及时慌张操作导致摔伤，受伤员工拨打交警电话报警，并由交警报120送往简阳市人民医院就诊。</t>
  </si>
  <si>
    <t>郑智林</t>
  </si>
  <si>
    <t>王国强</t>
  </si>
  <si>
    <t>12月23日下午5点半，江西车队司机王国强在郑州转运中心卸货口进行卸货作业，现场班长卸货完毕后发现该名司机在车内晕厥，随即拨打120，120到达抢救后仍未恢复心跳和自主呼吸，随即将该名人员带到医院，当晚抢救无效宣布死亡，尸体已被送至殡仪馆。</t>
  </si>
  <si>
    <t>元绍松</t>
  </si>
  <si>
    <t>元绍松，12月22日6：30进港夜班员工下班路过新湖公交车站，正常骑行电动车途中被后方行驶的汽车撞倒， 当天8:50员工给班长打电话说被车撞伤想请两天假，但一直没有提交流程。12月23日15：00员工家属来公司称下班路上被撞想请病假，提供了住院的诊断证明，由班长协助提交了病假流程，特此报备。</t>
  </si>
  <si>
    <t>21点24分35秒一包快件经过流水线滚筒时发生起火，在24分50秒时到达玉山网点格口，（刘增洪1300510）发现后立即将快件转移至空地上，25分23秒（黄宇亮1305613）拿灭火器将火焰扑灭，26分灭火器烟雾导致厂区断电，安全员与机修立即前往消防控制室和电柜进行处理，在36分时将电源与照明恢复，后续对场地进行清理，未造成人员伤亡。
事件原因：该包件内件为易燃气体压力罐，压力罐出现破损，气体外泄。在该包件经过流水线滚筒时设备出现静电现象，静电导致泄漏气体燃烧，导致该事件发生。</t>
  </si>
  <si>
    <t>陈良玉</t>
  </si>
  <si>
    <t>进港白班员工陈良玉，工号1302654，在南昌县向塘镇晏家巷的回家路上骑电动车摔了一跤，已被家属带至医院，伤情待定。</t>
  </si>
  <si>
    <t>孙义锋</t>
  </si>
  <si>
    <t>孙义锋（细分扫描员，1012652）扫描大件货物，重货掉落砸到脚背。</t>
  </si>
  <si>
    <t>临平转运中心</t>
  </si>
  <si>
    <t>张云峰</t>
  </si>
  <si>
    <t>12月25日早晨8:05分一辆干线车辆在临平中心内倒车时发生交通意外导致同车司机张云峰受伤，随后被送往医院抢救，经抢救无效人已去世，经确认其身份为承包车司机。</t>
  </si>
  <si>
    <t>杨志龙</t>
  </si>
  <si>
    <t>2024年12月26日06点35分左右，在离公司入口30米左右的主干道处，杨志龙 （1246159）驾驶的电动车未及时注意到前方步行的胡昭真（1261215），撞倒了胡昭真，随后两人回去上班，上了一会班胡昭真感觉腰部疼痛难耐，随后到南方医院就诊，经拍片诊断为T12椎体压缩性骨折，目前办理住院治疗</t>
  </si>
  <si>
    <t>郭辉辉</t>
  </si>
  <si>
    <t>吉安中心员工郭辉辉（工号1307222）2024年12月29日4:21 在骑山轮车拉货途中，只顾着看手机，未观察前方路况，导致三轮车直接骑进货车车厢底下，后经过120抢救无效宣布死亡，后续情况待进一步跟进。</t>
  </si>
  <si>
    <t>张保峰</t>
  </si>
  <si>
    <t>2024年12月29日早04:21左右，装车员工张保锋（1269092），在月台处作业，起身途中摔落月台，
昏迷伴有抽搐现象。经中心主管崔志龙、郭成龙，报120及时送往阳曲医院，经医院诊断不具治疗手段，
家属办理转院至山西省人民医院。目前张保锋在急救室未清醒，经检查初步排除脑溢血；具体昏迷抽搐
情况尚不清楚，持续跟进事故状态。</t>
  </si>
  <si>
    <t>涉嫌故意摔伤</t>
  </si>
  <si>
    <t>涂拥威</t>
  </si>
  <si>
    <t>2024年12月29日23：35出港员工涂拥威（工号1277519）操作结束后。在6号线DWS上用鸡毛掸打扫卫生，清扫完成后从设备下来过程中，因一只手握住鸡毛掸，另一只手未抓牢设备导致失足踏空，左眉磕碰到设备。后班长将该员工送往省中医院治疗：左眉骨5cm裂口，里外共缝合14针，未骨折。</t>
  </si>
  <si>
    <t>孟陆军</t>
  </si>
  <si>
    <t>2024年12月31日10：36分江阴江阴转运中心-进港前台卸车员孟陆军（男54岁）卸货时重心不稳从伸缩机前端摔落，医院检查正常。</t>
  </si>
  <si>
    <t>黄发元</t>
  </si>
  <si>
    <t>前台卸车员：黄发元， 工号：1263880，该员工在卸货时，脚踏空，（月台与车辆之间存在缝隙）造成员工大腿被挤压，</t>
  </si>
  <si>
    <t>丁振</t>
  </si>
  <si>
    <t>12月31日拆包员丁振拆包时被安全刀割伤左手，已送往天津医院治疗。</t>
  </si>
  <si>
    <t>上海公司</t>
  </si>
  <si>
    <t>赵扎袜</t>
  </si>
  <si>
    <t>上海南汇工业园区 浦东新区汇成路859号</t>
  </si>
  <si>
    <t>去世</t>
  </si>
  <si>
    <t>赵扎袜与中心另外一个员工王燕，两当事人男女朋友关系，中心2月8日、2月9日、2月16日联系过当事人赵扎袜没有联系上，17 日主管王华明安排喻莎莎去上海南汇工业园区 浦东新区汇成路859号出租屋找敲门没反应，19 日再次安排喻莎莎去出租屋找发现：两当事人赵扎袜、王燕在出租屋内已经死亡，喻莎莎报警，惠园派出所出警，民警到现场进行刑事侦查，具体死因及时间待警方</t>
  </si>
  <si>
    <t>王燕</t>
  </si>
  <si>
    <t>34042119950310362X</t>
  </si>
  <si>
    <t>上海南汇工业园区浦东新区汇成路859号</t>
  </si>
  <si>
    <t>王燕与中心另外一个员工赵扎袜，两当事人男女朋友关系，中心分别在2月8日、2月9日、2月16日联系过当事人赵扎袜没有联系上，17 日主管王华明安排喻莎莎去上海南汇工业园区 浦东新区汇成路859号出租屋找敲门没反应，19 日再次安排喻莎莎去出租屋找发现：两当事人赵扎袜、王燕在出租屋内已经死亡，喻莎莎报警，惠园派出所出警，民警到现场进行刑事侦查，具体死因及时间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</si>
</sst>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409]h:mm\ AM/PM;@"/>
    <numFmt numFmtId="178" formatCode="\¥#,##0.00;\¥\-#,##0.00"/>
    <numFmt numFmtId="179" formatCode="0_ "/>
    <numFmt numFmtId="180" formatCode="0.00_ "/>
  </numFmts>
  <fonts count="47">
    <font>
      <sz val="11"/>
      <color theme="1"/>
      <name val="宋体"/>
      <charset val="134"/>
      <scheme val="minor"/>
    </font>
    <font>
      <sz val="11"/>
      <color theme="1"/>
      <name val="宋体"/>
      <charset val="134"/>
    </font>
    <font>
      <sz val="9"/>
      <color theme="1"/>
      <name val="微软雅黑"/>
      <charset val="134"/>
    </font>
    <font>
      <b/>
      <sz val="9"/>
      <color theme="0"/>
      <name val="微软雅黑"/>
      <charset val="134"/>
    </font>
    <font>
      <sz val="9"/>
      <name val="微软雅黑"/>
      <charset val="134"/>
    </font>
    <font>
      <sz val="11"/>
      <color indexed="8"/>
      <name val="宋体"/>
      <charset val="134"/>
      <scheme val="minor"/>
    </font>
    <font>
      <sz val="9"/>
      <color indexed="8"/>
      <name val="微软雅黑"/>
      <charset val="134"/>
    </font>
    <font>
      <sz val="9"/>
      <color rgb="FFFF0000"/>
      <name val="微软雅黑"/>
      <charset val="134"/>
    </font>
    <font>
      <sz val="9"/>
      <color theme="6"/>
      <name val="微软雅黑"/>
      <charset val="134"/>
    </font>
    <font>
      <sz val="9"/>
      <color rgb="FF000000"/>
      <name val="微软雅黑"/>
      <charset val="134"/>
    </font>
    <font>
      <sz val="9.75"/>
      <color rgb="FF2C3033"/>
      <name val="宋体"/>
      <charset val="134"/>
      <scheme val="minor"/>
    </font>
    <font>
      <sz val="11"/>
      <color rgb="FFFF0000"/>
      <name val="宋体"/>
      <charset val="134"/>
      <scheme val="minor"/>
    </font>
    <font>
      <sz val="8"/>
      <color theme="1"/>
      <name val="宋体"/>
      <charset val="134"/>
      <scheme val="minor"/>
    </font>
    <font>
      <sz val="11"/>
      <color rgb="FFC00000"/>
      <name val="宋体"/>
      <charset val="134"/>
      <scheme val="minor"/>
    </font>
    <font>
      <sz val="11"/>
      <color rgb="FF00B050"/>
      <name val="宋体"/>
      <charset val="134"/>
      <scheme val="minor"/>
    </font>
    <font>
      <sz val="11"/>
      <color rgb="FF000000"/>
      <name val="宋体"/>
      <charset val="134"/>
      <scheme val="minor"/>
    </font>
    <font>
      <sz val="11"/>
      <color rgb="FFFFC000"/>
      <name val="宋体"/>
      <charset val="134"/>
      <scheme val="minor"/>
    </font>
    <font>
      <sz val="10"/>
      <color indexed="8"/>
      <name val="宋体"/>
      <charset val="134"/>
      <scheme val="minor"/>
    </font>
    <font>
      <sz val="8"/>
      <color rgb="FFFF0000"/>
      <name val="宋体"/>
      <charset val="134"/>
      <scheme val="minor"/>
    </font>
    <font>
      <sz val="10"/>
      <color rgb="FFFF0000"/>
      <name val="宋体"/>
      <charset val="134"/>
      <scheme val="minor"/>
    </font>
    <font>
      <sz val="9"/>
      <color rgb="FF0070C0"/>
      <name val="微软雅黑"/>
      <charset val="134"/>
    </font>
    <font>
      <sz val="11"/>
      <color theme="9"/>
      <name val="宋体"/>
      <charset val="134"/>
      <scheme val="minor"/>
    </font>
    <font>
      <sz val="11"/>
      <color theme="1"/>
      <name val="微软雅黑"/>
      <charset val="134"/>
    </font>
    <font>
      <sz val="11"/>
      <color rgb="FFFF0000"/>
      <name val="微软雅黑"/>
      <charset val="134"/>
    </font>
    <font>
      <sz val="12"/>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000000"/>
      <name val="宋体-简"/>
      <charset val="134"/>
    </font>
    <font>
      <sz val="9"/>
      <name val="宋体"/>
      <charset val="0"/>
    </font>
    <font>
      <b/>
      <sz val="9"/>
      <name val="宋体"/>
      <charset val="0"/>
    </font>
  </fonts>
  <fills count="37">
    <fill>
      <patternFill patternType="none"/>
    </fill>
    <fill>
      <patternFill patternType="gray125"/>
    </fill>
    <fill>
      <patternFill patternType="solid">
        <fgColor rgb="FFFF0000"/>
        <bgColor indexed="64"/>
      </patternFill>
    </fill>
    <fill>
      <patternFill patternType="solid">
        <fgColor rgb="FF0070C0"/>
        <bgColor indexed="64"/>
      </patternFill>
    </fill>
    <fill>
      <patternFill patternType="solid">
        <fgColor rgb="FFFFFF00"/>
        <bgColor indexed="64"/>
      </patternFill>
    </fill>
    <fill>
      <patternFill patternType="solid">
        <fgColor theme="4"/>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rgb="FF000000"/>
      </left>
      <right/>
      <top style="thin">
        <color rgb="FF000000"/>
      </top>
      <bottom style="thin">
        <color rgb="FF000000"/>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7" borderId="10"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1" applyNumberFormat="0" applyFill="0" applyAlignment="0" applyProtection="0">
      <alignment vertical="center"/>
    </xf>
    <xf numFmtId="0" fontId="31" fillId="0" borderId="11" applyNumberFormat="0" applyFill="0" applyAlignment="0" applyProtection="0">
      <alignment vertical="center"/>
    </xf>
    <xf numFmtId="0" fontId="32" fillId="0" borderId="12" applyNumberFormat="0" applyFill="0" applyAlignment="0" applyProtection="0">
      <alignment vertical="center"/>
    </xf>
    <xf numFmtId="0" fontId="32" fillId="0" borderId="0" applyNumberFormat="0" applyFill="0" applyBorder="0" applyAlignment="0" applyProtection="0">
      <alignment vertical="center"/>
    </xf>
    <xf numFmtId="0" fontId="33" fillId="8" borderId="13" applyNumberFormat="0" applyAlignment="0" applyProtection="0">
      <alignment vertical="center"/>
    </xf>
    <xf numFmtId="0" fontId="34" fillId="9" borderId="14" applyNumberFormat="0" applyAlignment="0" applyProtection="0">
      <alignment vertical="center"/>
    </xf>
    <xf numFmtId="0" fontId="35" fillId="9" borderId="13" applyNumberFormat="0" applyAlignment="0" applyProtection="0">
      <alignment vertical="center"/>
    </xf>
    <xf numFmtId="0" fontId="36" fillId="10" borderId="15" applyNumberFormat="0" applyAlignment="0" applyProtection="0">
      <alignment vertical="center"/>
    </xf>
    <xf numFmtId="0" fontId="37" fillId="0" borderId="16" applyNumberFormat="0" applyFill="0" applyAlignment="0" applyProtection="0">
      <alignment vertical="center"/>
    </xf>
    <xf numFmtId="0" fontId="38" fillId="0" borderId="17" applyNumberFormat="0" applyFill="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1" fillId="13" borderId="0" applyNumberFormat="0" applyBorder="0" applyAlignment="0" applyProtection="0">
      <alignment vertical="center"/>
    </xf>
    <xf numFmtId="0" fontId="42" fillId="5" borderId="0" applyNumberFormat="0" applyBorder="0" applyAlignment="0" applyProtection="0">
      <alignment vertical="center"/>
    </xf>
    <xf numFmtId="0" fontId="43" fillId="14" borderId="0" applyNumberFormat="0" applyBorder="0" applyAlignment="0" applyProtection="0">
      <alignment vertical="center"/>
    </xf>
    <xf numFmtId="0" fontId="43" fillId="15" borderId="0" applyNumberFormat="0" applyBorder="0" applyAlignment="0" applyProtection="0">
      <alignment vertical="center"/>
    </xf>
    <xf numFmtId="0" fontId="42" fillId="16" borderId="0" applyNumberFormat="0" applyBorder="0" applyAlignment="0" applyProtection="0">
      <alignment vertical="center"/>
    </xf>
    <xf numFmtId="0" fontId="42" fillId="17" borderId="0" applyNumberFormat="0" applyBorder="0" applyAlignment="0" applyProtection="0">
      <alignment vertical="center"/>
    </xf>
    <xf numFmtId="0" fontId="43" fillId="18" borderId="0" applyNumberFormat="0" applyBorder="0" applyAlignment="0" applyProtection="0">
      <alignment vertical="center"/>
    </xf>
    <xf numFmtId="0" fontId="43" fillId="19" borderId="0" applyNumberFormat="0" applyBorder="0" applyAlignment="0" applyProtection="0">
      <alignment vertical="center"/>
    </xf>
    <xf numFmtId="0" fontId="42" fillId="20" borderId="0" applyNumberFormat="0" applyBorder="0" applyAlignment="0" applyProtection="0">
      <alignment vertical="center"/>
    </xf>
    <xf numFmtId="0" fontId="42" fillId="21" borderId="0" applyNumberFormat="0" applyBorder="0" applyAlignment="0" applyProtection="0">
      <alignment vertical="center"/>
    </xf>
    <xf numFmtId="0" fontId="43" fillId="22" borderId="0" applyNumberFormat="0" applyBorder="0" applyAlignment="0" applyProtection="0">
      <alignment vertical="center"/>
    </xf>
    <xf numFmtId="0" fontId="43" fillId="23" borderId="0" applyNumberFormat="0" applyBorder="0" applyAlignment="0" applyProtection="0">
      <alignment vertical="center"/>
    </xf>
    <xf numFmtId="0" fontId="42" fillId="24" borderId="0" applyNumberFormat="0" applyBorder="0" applyAlignment="0" applyProtection="0">
      <alignment vertical="center"/>
    </xf>
    <xf numFmtId="0" fontId="42" fillId="25" borderId="0" applyNumberFormat="0" applyBorder="0" applyAlignment="0" applyProtection="0">
      <alignment vertical="center"/>
    </xf>
    <xf numFmtId="0" fontId="43" fillId="26" borderId="0" applyNumberFormat="0" applyBorder="0" applyAlignment="0" applyProtection="0">
      <alignment vertical="center"/>
    </xf>
    <xf numFmtId="0" fontId="43" fillId="27" borderId="0" applyNumberFormat="0" applyBorder="0" applyAlignment="0" applyProtection="0">
      <alignment vertical="center"/>
    </xf>
    <xf numFmtId="0" fontId="42" fillId="28" borderId="0" applyNumberFormat="0" applyBorder="0" applyAlignment="0" applyProtection="0">
      <alignment vertical="center"/>
    </xf>
    <xf numFmtId="0" fontId="42" fillId="29" borderId="0" applyNumberFormat="0" applyBorder="0" applyAlignment="0" applyProtection="0">
      <alignment vertical="center"/>
    </xf>
    <xf numFmtId="0" fontId="43" fillId="30" borderId="0" applyNumberFormat="0" applyBorder="0" applyAlignment="0" applyProtection="0">
      <alignment vertical="center"/>
    </xf>
    <xf numFmtId="0" fontId="43" fillId="31" borderId="0" applyNumberFormat="0" applyBorder="0" applyAlignment="0" applyProtection="0">
      <alignment vertical="center"/>
    </xf>
    <xf numFmtId="0" fontId="42" fillId="32" borderId="0" applyNumberFormat="0" applyBorder="0" applyAlignment="0" applyProtection="0">
      <alignment vertical="center"/>
    </xf>
    <xf numFmtId="0" fontId="42" fillId="33" borderId="0" applyNumberFormat="0" applyBorder="0" applyAlignment="0" applyProtection="0">
      <alignment vertical="center"/>
    </xf>
    <xf numFmtId="0" fontId="43" fillId="34" borderId="0" applyNumberFormat="0" applyBorder="0" applyAlignment="0" applyProtection="0">
      <alignment vertical="center"/>
    </xf>
    <xf numFmtId="0" fontId="43" fillId="35" borderId="0" applyNumberFormat="0" applyBorder="0" applyAlignment="0" applyProtection="0">
      <alignment vertical="center"/>
    </xf>
    <xf numFmtId="0" fontId="42" fillId="36" borderId="0" applyNumberFormat="0" applyBorder="0" applyAlignment="0" applyProtection="0">
      <alignment vertical="center"/>
    </xf>
    <xf numFmtId="0" fontId="5" fillId="0" borderId="0">
      <alignment vertical="center"/>
    </xf>
    <xf numFmtId="0" fontId="5" fillId="0" borderId="0">
      <alignment vertical="center"/>
    </xf>
  </cellStyleXfs>
  <cellXfs count="125">
    <xf numFmtId="0" fontId="0" fillId="0" borderId="0" xfId="0">
      <alignment vertical="center"/>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14" fontId="1" fillId="0" borderId="1" xfId="0" applyNumberFormat="1" applyFont="1" applyBorder="1" applyAlignment="1">
      <alignment horizontal="center" vertical="center"/>
    </xf>
    <xf numFmtId="176" fontId="0" fillId="0" borderId="0" xfId="0" applyNumberFormat="1">
      <alignment vertical="center"/>
    </xf>
    <xf numFmtId="0" fontId="2" fillId="0" borderId="2" xfId="0" applyFont="1" applyBorder="1">
      <alignment vertical="center"/>
    </xf>
    <xf numFmtId="176" fontId="2" fillId="0" borderId="2" xfId="0" applyNumberFormat="1" applyFont="1" applyBorder="1">
      <alignment vertical="center"/>
    </xf>
    <xf numFmtId="0" fontId="2" fillId="0" borderId="0" xfId="0" applyFont="1">
      <alignment vertical="center"/>
    </xf>
    <xf numFmtId="0" fontId="0" fillId="0" borderId="0" xfId="0" applyAlignment="1">
      <alignment vertical="center" wrapText="1"/>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left" vertical="center" wrapText="1"/>
    </xf>
    <xf numFmtId="0" fontId="0" fillId="0" borderId="0" xfId="0" applyAlignment="1">
      <alignment horizontal="center" vertical="center"/>
    </xf>
    <xf numFmtId="49" fontId="3" fillId="3" borderId="2" xfId="49" applyNumberFormat="1" applyFont="1" applyFill="1" applyBorder="1" applyAlignment="1">
      <alignment horizontal="center" vertical="center"/>
    </xf>
    <xf numFmtId="49" fontId="3" fillId="3" borderId="3" xfId="49" applyNumberFormat="1" applyFont="1" applyFill="1" applyBorder="1" applyAlignment="1">
      <alignment horizontal="center" vertical="center"/>
    </xf>
    <xf numFmtId="49" fontId="3" fillId="3" borderId="2" xfId="49" applyNumberFormat="1" applyFont="1" applyFill="1" applyBorder="1" applyAlignment="1">
      <alignment horizontal="left" vertical="center"/>
    </xf>
    <xf numFmtId="14" fontId="3" fillId="3" borderId="2" xfId="49" applyNumberFormat="1" applyFont="1" applyFill="1" applyBorder="1" applyAlignment="1">
      <alignment horizontal="left" vertical="center"/>
    </xf>
    <xf numFmtId="177" fontId="3" fillId="3" borderId="2" xfId="49" applyNumberFormat="1" applyFont="1" applyFill="1" applyBorder="1" applyAlignment="1">
      <alignment horizontal="center" vertical="center"/>
    </xf>
    <xf numFmtId="49" fontId="3" fillId="3" borderId="2" xfId="49" applyNumberFormat="1" applyFont="1" applyFill="1" applyBorder="1" applyAlignment="1">
      <alignment horizontal="left" vertical="center" wrapText="1"/>
    </xf>
    <xf numFmtId="0" fontId="3" fillId="3" borderId="2" xfId="49" applyFont="1" applyFill="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2" fillId="0" borderId="2" xfId="0" applyFont="1" applyBorder="1" applyAlignment="1">
      <alignment horizontal="left" vertical="center"/>
    </xf>
    <xf numFmtId="14" fontId="2" fillId="0" borderId="2" xfId="0" applyNumberFormat="1" applyFont="1" applyBorder="1" applyAlignment="1">
      <alignment horizontal="left" vertical="center"/>
    </xf>
    <xf numFmtId="0" fontId="2" fillId="0" borderId="2" xfId="0" applyFont="1" applyBorder="1" applyAlignment="1">
      <alignment horizontal="center" vertical="center"/>
    </xf>
    <xf numFmtId="0" fontId="2" fillId="0" borderId="2" xfId="0" applyFont="1" applyBorder="1" applyAlignment="1">
      <alignment horizontal="left" vertical="center" wrapText="1"/>
    </xf>
    <xf numFmtId="0" fontId="5" fillId="0" borderId="2" xfId="0" applyFont="1" applyFill="1" applyBorder="1" applyAlignment="1">
      <alignment vertical="center"/>
    </xf>
    <xf numFmtId="0" fontId="0" fillId="0" borderId="2" xfId="0" applyBorder="1" applyAlignment="1">
      <alignment horizontal="center" vertical="center"/>
    </xf>
    <xf numFmtId="0" fontId="0" fillId="0" borderId="2" xfId="0" applyBorder="1">
      <alignment vertical="center"/>
    </xf>
    <xf numFmtId="0" fontId="0" fillId="0" borderId="2" xfId="0" applyBorder="1" applyAlignment="1">
      <alignment vertical="center" wrapText="1"/>
    </xf>
    <xf numFmtId="0" fontId="2" fillId="0" borderId="3" xfId="0" applyFont="1" applyBorder="1" applyAlignment="1">
      <alignment horizontal="center" vertical="center"/>
    </xf>
    <xf numFmtId="0" fontId="2" fillId="4" borderId="2" xfId="0" applyFont="1" applyFill="1" applyBorder="1" applyAlignment="1">
      <alignment horizontal="left" vertical="center"/>
    </xf>
    <xf numFmtId="178" fontId="2" fillId="0" borderId="2" xfId="0" applyNumberFormat="1" applyFont="1" applyBorder="1" applyAlignment="1">
      <alignment horizontal="left" vertical="center"/>
    </xf>
    <xf numFmtId="14" fontId="2" fillId="0" borderId="2" xfId="0" applyNumberFormat="1" applyFont="1" applyBorder="1" applyAlignment="1">
      <alignment horizontal="left" vertical="center" wrapText="1"/>
    </xf>
    <xf numFmtId="0" fontId="6" fillId="0" borderId="3" xfId="0" applyFont="1" applyFill="1" applyBorder="1" applyAlignment="1">
      <alignment horizontal="center" vertical="center"/>
    </xf>
    <xf numFmtId="0" fontId="6" fillId="0" borderId="2" xfId="0" applyFont="1" applyFill="1" applyBorder="1" applyAlignment="1">
      <alignment horizontal="left" vertical="center"/>
    </xf>
    <xf numFmtId="14" fontId="6" fillId="0" borderId="2" xfId="0" applyNumberFormat="1" applyFont="1" applyFill="1" applyBorder="1" applyAlignment="1">
      <alignment horizontal="left" vertical="center"/>
    </xf>
    <xf numFmtId="0" fontId="6" fillId="0" borderId="2" xfId="0" applyFont="1" applyFill="1" applyBorder="1" applyAlignment="1">
      <alignment horizontal="left" vertical="center" wrapText="1"/>
    </xf>
    <xf numFmtId="0" fontId="6" fillId="0" borderId="2" xfId="0" applyFont="1" applyFill="1" applyBorder="1" applyAlignment="1">
      <alignment vertical="center"/>
    </xf>
    <xf numFmtId="0" fontId="2" fillId="0" borderId="2" xfId="0" applyFont="1" applyBorder="1" applyAlignment="1">
      <alignment vertical="center" wrapText="1"/>
    </xf>
    <xf numFmtId="0" fontId="0" fillId="0" borderId="2" xfId="0" applyBorder="1" applyAlignment="1">
      <alignment horizontal="left" vertical="center" wrapText="1"/>
    </xf>
    <xf numFmtId="0" fontId="7" fillId="0" borderId="3" xfId="0" applyFont="1" applyBorder="1" applyAlignment="1">
      <alignment horizontal="center" vertical="center"/>
    </xf>
    <xf numFmtId="0" fontId="5" fillId="0" borderId="2" xfId="0" applyFont="1" applyFill="1" applyBorder="1" applyAlignment="1">
      <alignment horizontal="center" vertical="center"/>
    </xf>
    <xf numFmtId="0" fontId="5" fillId="0" borderId="0" xfId="0" applyFont="1" applyFill="1" applyAlignment="1">
      <alignment vertical="center"/>
    </xf>
    <xf numFmtId="0" fontId="5" fillId="0" borderId="0" xfId="0" applyFont="1" applyFill="1" applyAlignment="1">
      <alignment horizontal="left" vertical="center"/>
    </xf>
    <xf numFmtId="0" fontId="0" fillId="0" borderId="0" xfId="0" applyAlignment="1">
      <alignment horizontal="left" vertical="center"/>
    </xf>
    <xf numFmtId="14" fontId="5" fillId="0" borderId="0" xfId="0" applyNumberFormat="1" applyFont="1" applyFill="1" applyAlignment="1">
      <alignment horizontal="left" vertical="center"/>
    </xf>
    <xf numFmtId="0" fontId="5" fillId="0" borderId="0" xfId="0" applyFont="1" applyFill="1" applyAlignment="1">
      <alignment vertical="center" wrapText="1"/>
    </xf>
    <xf numFmtId="0" fontId="5" fillId="0" borderId="3" xfId="0" applyFont="1" applyFill="1" applyBorder="1" applyAlignment="1">
      <alignment horizontal="center" vertical="center"/>
    </xf>
    <xf numFmtId="0" fontId="5" fillId="0" borderId="2" xfId="0" applyFont="1" applyFill="1" applyBorder="1" applyAlignment="1">
      <alignment horizontal="left" vertical="center"/>
    </xf>
    <xf numFmtId="14" fontId="5" fillId="0" borderId="2" xfId="0" applyNumberFormat="1" applyFont="1" applyFill="1" applyBorder="1" applyAlignment="1">
      <alignment horizontal="left" vertical="center"/>
    </xf>
    <xf numFmtId="0" fontId="5" fillId="0" borderId="4" xfId="0" applyFont="1" applyFill="1" applyBorder="1" applyAlignment="1">
      <alignment horizontal="center" vertical="center"/>
    </xf>
    <xf numFmtId="0" fontId="0" fillId="0" borderId="2" xfId="0" applyBorder="1" applyAlignment="1">
      <alignment horizontal="left" vertical="center"/>
    </xf>
    <xf numFmtId="0" fontId="5" fillId="0" borderId="2" xfId="0" applyFont="1" applyFill="1" applyBorder="1" applyAlignment="1">
      <alignment horizontal="left" vertical="center" wrapText="1"/>
    </xf>
    <xf numFmtId="0" fontId="0" fillId="0" borderId="2" xfId="0" applyBorder="1" applyAlignment="1">
      <alignment vertical="center"/>
    </xf>
    <xf numFmtId="0" fontId="8" fillId="0" borderId="2" xfId="0" applyFont="1" applyBorder="1">
      <alignment vertical="center"/>
    </xf>
    <xf numFmtId="0" fontId="7" fillId="0" borderId="2" xfId="0" applyFont="1" applyFill="1" applyBorder="1" applyAlignment="1">
      <alignment horizontal="left" vertical="center" wrapText="1"/>
    </xf>
    <xf numFmtId="0" fontId="9" fillId="0" borderId="2" xfId="0" applyFont="1" applyFill="1" applyBorder="1" applyAlignment="1">
      <alignment horizontal="left" vertical="center" wrapText="1"/>
    </xf>
    <xf numFmtId="0" fontId="4" fillId="0" borderId="2" xfId="0" applyFont="1" applyFill="1" applyBorder="1" applyAlignment="1">
      <alignment horizontal="left" vertical="center" wrapText="1"/>
    </xf>
    <xf numFmtId="0" fontId="10" fillId="0" borderId="3" xfId="0" applyFont="1" applyBorder="1" applyAlignment="1">
      <alignment horizontal="center" vertical="center"/>
    </xf>
    <xf numFmtId="0" fontId="11" fillId="0" borderId="2" xfId="0" applyFont="1" applyBorder="1" applyAlignment="1">
      <alignment vertical="center" wrapText="1"/>
    </xf>
    <xf numFmtId="0" fontId="0" fillId="0" borderId="3" xfId="0" applyBorder="1" applyAlignment="1">
      <alignment horizontal="center" vertical="center"/>
    </xf>
    <xf numFmtId="0" fontId="11" fillId="0" borderId="2" xfId="0" applyFont="1" applyBorder="1" applyAlignment="1">
      <alignment horizontal="left" vertical="center" wrapText="1"/>
    </xf>
    <xf numFmtId="0" fontId="0" fillId="0" borderId="3" xfId="0" applyBorder="1" applyAlignment="1">
      <alignment horizontal="center" vertical="center" wrapText="1"/>
    </xf>
    <xf numFmtId="14" fontId="5" fillId="0" borderId="2" xfId="0" applyNumberFormat="1" applyFont="1" applyFill="1" applyBorder="1" applyAlignment="1">
      <alignment horizontal="left" vertical="center" wrapText="1"/>
    </xf>
    <xf numFmtId="0" fontId="0" fillId="0" borderId="2" xfId="0"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vertical="center" wrapText="1"/>
    </xf>
    <xf numFmtId="0" fontId="2" fillId="0" borderId="2" xfId="0" applyFont="1" applyBorder="1" applyAlignment="1">
      <alignment horizontal="center" vertical="center" wrapText="1"/>
    </xf>
    <xf numFmtId="0" fontId="12" fillId="0" borderId="2" xfId="0" applyFont="1" applyBorder="1" applyAlignment="1">
      <alignment vertical="center" wrapText="1"/>
    </xf>
    <xf numFmtId="0" fontId="8" fillId="0" borderId="2" xfId="0" applyFont="1" applyBorder="1" applyAlignment="1">
      <alignment vertical="center" wrapText="1"/>
    </xf>
    <xf numFmtId="0" fontId="11"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4" fillId="0" borderId="2" xfId="0" applyFont="1" applyBorder="1" applyAlignment="1">
      <alignment vertical="center" wrapText="1"/>
    </xf>
    <xf numFmtId="14" fontId="0" fillId="0" borderId="2" xfId="0" applyNumberFormat="1" applyBorder="1" applyAlignment="1">
      <alignment horizontal="left" vertical="center"/>
    </xf>
    <xf numFmtId="0" fontId="9" fillId="0" borderId="5" xfId="0" applyFont="1" applyBorder="1" applyAlignment="1">
      <alignment horizontal="center" vertical="center"/>
    </xf>
    <xf numFmtId="0" fontId="9" fillId="0" borderId="2" xfId="0" applyFont="1" applyBorder="1" applyAlignment="1">
      <alignment horizontal="left" vertical="center"/>
    </xf>
    <xf numFmtId="14" fontId="9" fillId="0" borderId="2" xfId="0" applyNumberFormat="1" applyFont="1" applyBorder="1" applyAlignment="1">
      <alignment horizontal="left" vertical="center"/>
    </xf>
    <xf numFmtId="0" fontId="9" fillId="0" borderId="2" xfId="0" applyFont="1" applyBorder="1" applyAlignment="1">
      <alignment horizontal="center" vertical="center"/>
    </xf>
    <xf numFmtId="0" fontId="9" fillId="0" borderId="2" xfId="0" applyFont="1" applyBorder="1" applyAlignment="1">
      <alignment horizontal="left" vertical="center" wrapText="1"/>
    </xf>
    <xf numFmtId="0" fontId="15" fillId="0" borderId="2" xfId="0" applyFont="1" applyBorder="1">
      <alignment vertical="center"/>
    </xf>
    <xf numFmtId="0" fontId="15" fillId="0" borderId="2" xfId="0" applyFont="1" applyBorder="1" applyAlignment="1">
      <alignment vertical="center" wrapText="1"/>
    </xf>
    <xf numFmtId="14" fontId="0" fillId="4" borderId="2" xfId="0" applyNumberFormat="1" applyFill="1" applyBorder="1" applyAlignment="1">
      <alignment horizontal="left" vertical="center"/>
    </xf>
    <xf numFmtId="0" fontId="16" fillId="0" borderId="3" xfId="0" applyFont="1" applyBorder="1" applyAlignment="1">
      <alignment horizontal="center" vertical="center"/>
    </xf>
    <xf numFmtId="0" fontId="5" fillId="0" borderId="0" xfId="0" applyFont="1" applyFill="1" applyAlignment="1">
      <alignment horizontal="center" vertical="center"/>
    </xf>
    <xf numFmtId="0" fontId="17" fillId="0" borderId="2" xfId="0" applyFont="1" applyFill="1" applyBorder="1" applyAlignment="1">
      <alignment horizontal="left" vertical="center" wrapText="1"/>
    </xf>
    <xf numFmtId="14" fontId="11" fillId="0" borderId="2" xfId="0" applyNumberFormat="1" applyFont="1" applyFill="1" applyBorder="1" applyAlignment="1">
      <alignment horizontal="left" vertical="center"/>
    </xf>
    <xf numFmtId="0" fontId="18" fillId="0" borderId="2" xfId="0" applyFont="1" applyBorder="1" applyAlignment="1">
      <alignment vertical="center" wrapText="1"/>
    </xf>
    <xf numFmtId="0" fontId="2" fillId="0" borderId="2" xfId="0" applyFont="1" applyFill="1" applyBorder="1" applyAlignment="1">
      <alignment horizontal="center" vertical="center"/>
    </xf>
    <xf numFmtId="0" fontId="19" fillId="0" borderId="2" xfId="0" applyFont="1" applyFill="1" applyBorder="1" applyAlignment="1">
      <alignment horizontal="left" vertical="center" wrapText="1"/>
    </xf>
    <xf numFmtId="0" fontId="0" fillId="0" borderId="2" xfId="0" applyFill="1" applyBorder="1" applyAlignment="1">
      <alignment horizontal="left" vertical="center"/>
    </xf>
    <xf numFmtId="0" fontId="0" fillId="0" borderId="2" xfId="0" applyFill="1" applyBorder="1" applyAlignment="1">
      <alignment horizontal="center" vertical="center"/>
    </xf>
    <xf numFmtId="0" fontId="0" fillId="0" borderId="2" xfId="0" applyFill="1" applyBorder="1" applyAlignment="1">
      <alignment vertical="center"/>
    </xf>
    <xf numFmtId="0" fontId="0" fillId="0" borderId="2" xfId="0" applyFill="1" applyBorder="1" applyAlignment="1">
      <alignment vertical="center" wrapText="1"/>
    </xf>
    <xf numFmtId="0" fontId="0" fillId="0" borderId="3" xfId="0" applyFill="1" applyBorder="1" applyAlignment="1">
      <alignment horizontal="center" vertical="center"/>
    </xf>
    <xf numFmtId="14" fontId="0" fillId="0" borderId="2" xfId="0" applyNumberFormat="1" applyFill="1" applyBorder="1" applyAlignment="1">
      <alignment horizontal="left" vertical="center"/>
    </xf>
    <xf numFmtId="0" fontId="0" fillId="0" borderId="2" xfId="0" applyFill="1" applyBorder="1" applyAlignment="1">
      <alignment horizontal="left" vertical="center" wrapText="1"/>
    </xf>
    <xf numFmtId="0" fontId="20" fillId="0" borderId="2" xfId="0" applyFont="1" applyFill="1" applyBorder="1" applyAlignment="1">
      <alignment horizontal="center" vertical="center"/>
    </xf>
    <xf numFmtId="0" fontId="0" fillId="0" borderId="3" xfId="0" applyFill="1" applyBorder="1" applyAlignment="1">
      <alignment horizontal="center" vertical="center" wrapText="1"/>
    </xf>
    <xf numFmtId="0" fontId="11" fillId="0" borderId="3" xfId="0" applyFont="1" applyFill="1" applyBorder="1" applyAlignment="1">
      <alignment horizontal="center" vertical="center"/>
    </xf>
    <xf numFmtId="0" fontId="5" fillId="0" borderId="3" xfId="0" applyFont="1" applyFill="1" applyBorder="1" applyAlignment="1">
      <alignment horizontal="left" vertical="center"/>
    </xf>
    <xf numFmtId="0" fontId="0" fillId="0" borderId="6" xfId="0" applyFill="1" applyBorder="1" applyAlignment="1">
      <alignment horizontal="left" vertical="center"/>
    </xf>
    <xf numFmtId="0" fontId="21" fillId="0" borderId="3" xfId="0" applyFont="1" applyFill="1" applyBorder="1" applyAlignment="1">
      <alignment horizontal="center" vertical="center"/>
    </xf>
    <xf numFmtId="0" fontId="0" fillId="0" borderId="3" xfId="0" applyFill="1" applyBorder="1" applyAlignment="1">
      <alignment horizontal="left" vertical="center"/>
    </xf>
    <xf numFmtId="58" fontId="0" fillId="0" borderId="2" xfId="0" applyNumberFormat="1" applyBorder="1" applyAlignment="1">
      <alignment horizontal="left" vertical="center"/>
    </xf>
    <xf numFmtId="0" fontId="22" fillId="0" borderId="0" xfId="0" applyFont="1">
      <alignment vertical="center"/>
    </xf>
    <xf numFmtId="0" fontId="22" fillId="0" borderId="7" xfId="0" applyFont="1" applyBorder="1" applyAlignment="1">
      <alignment horizontal="center" vertical="center"/>
    </xf>
    <xf numFmtId="0" fontId="22" fillId="0" borderId="6" xfId="0" applyFont="1" applyBorder="1" applyAlignment="1">
      <alignment horizontal="center" vertical="center"/>
    </xf>
    <xf numFmtId="0" fontId="22" fillId="0" borderId="2" xfId="0" applyFont="1" applyBorder="1" applyAlignment="1">
      <alignment horizontal="center" vertical="center"/>
    </xf>
    <xf numFmtId="0" fontId="22" fillId="0" borderId="8" xfId="0" applyFont="1" applyBorder="1" applyAlignment="1">
      <alignment horizontal="center" vertical="center"/>
    </xf>
    <xf numFmtId="0" fontId="23" fillId="0" borderId="2" xfId="0" applyFont="1" applyBorder="1" applyAlignment="1">
      <alignment horizontal="center" vertical="center"/>
    </xf>
    <xf numFmtId="0" fontId="22" fillId="0" borderId="9" xfId="0" applyFont="1" applyBorder="1" applyAlignment="1">
      <alignment horizontal="center" vertical="center"/>
    </xf>
    <xf numFmtId="0" fontId="22" fillId="0" borderId="2" xfId="0" applyFont="1" applyBorder="1" applyAlignment="1">
      <alignment horizontal="center" vertical="center" wrapText="1"/>
    </xf>
    <xf numFmtId="0" fontId="22" fillId="5" borderId="2" xfId="0" applyFont="1" applyFill="1" applyBorder="1" applyAlignment="1">
      <alignment horizontal="center" vertical="center"/>
    </xf>
    <xf numFmtId="0" fontId="22" fillId="5" borderId="7" xfId="0" applyFont="1" applyFill="1" applyBorder="1" applyAlignment="1">
      <alignment horizontal="center" vertical="center" wrapText="1"/>
    </xf>
    <xf numFmtId="0" fontId="22" fillId="5" borderId="8" xfId="0" applyFont="1" applyFill="1" applyBorder="1" applyAlignment="1">
      <alignment horizontal="center" vertical="center" wrapText="1"/>
    </xf>
    <xf numFmtId="0" fontId="22" fillId="0" borderId="8" xfId="0" applyFont="1" applyFill="1" applyBorder="1" applyAlignment="1">
      <alignment horizontal="center" vertical="center" wrapText="1"/>
    </xf>
    <xf numFmtId="0" fontId="22" fillId="6" borderId="2" xfId="0" applyFont="1" applyFill="1" applyBorder="1" applyAlignment="1">
      <alignment horizontal="center" vertical="center"/>
    </xf>
    <xf numFmtId="0" fontId="24" fillId="0" borderId="2" xfId="0" applyFont="1" applyBorder="1" applyAlignment="1">
      <alignment horizontal="center" vertical="center"/>
    </xf>
    <xf numFmtId="0" fontId="24" fillId="0" borderId="2" xfId="0" applyFont="1" applyBorder="1" applyAlignment="1">
      <alignment horizontal="left" vertical="center"/>
    </xf>
    <xf numFmtId="179" fontId="22" fillId="0" borderId="2" xfId="0" applyNumberFormat="1" applyFont="1" applyBorder="1" applyAlignment="1">
      <alignment horizontal="center" vertical="center"/>
    </xf>
    <xf numFmtId="180" fontId="22" fillId="0" borderId="2" xfId="0" applyNumberFormat="1" applyFont="1" applyBorder="1" applyAlignment="1">
      <alignment horizontal="center" vertical="center"/>
    </xf>
    <xf numFmtId="0" fontId="22" fillId="5" borderId="9" xfId="0" applyFont="1" applyFill="1" applyBorder="1" applyAlignment="1">
      <alignment horizontal="center" vertical="center" wrapText="1"/>
    </xf>
    <xf numFmtId="0" fontId="22" fillId="0" borderId="9" xfId="0" applyFont="1" applyFill="1" applyBorder="1" applyAlignment="1">
      <alignment horizontal="center" vertical="center" wrapText="1"/>
    </xf>
    <xf numFmtId="179" fontId="22" fillId="0" borderId="0" xfId="0" applyNumberFormat="1" applyFont="1">
      <alignmen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dxfs count="1">
    <dxf>
      <fill>
        <patternFill patternType="solid">
          <bgColor rgb="FFFF9900"/>
        </patternFill>
      </fill>
    </dxf>
  </dxf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25&#24180;&#23433;&#20840;&#20107;&#25925;&#27719;&#24635;103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指标统计"/>
      <sheetName val="25年安全事故明细（1-9月）"/>
      <sheetName val="24年事故（安全侧）"/>
      <sheetName val="9月事故核对"/>
      <sheetName val="10月事故核对"/>
      <sheetName val="11月事故核对"/>
      <sheetName val="事故责任判定标准"/>
      <sheetName val="24年事故（运营侧）"/>
      <sheetName val="工时统计表"/>
      <sheetName val="省区匹配表"/>
      <sheetName val="Sheet11"/>
    </sheetNames>
    <sheetDataSet>
      <sheetData sheetId="0" refreshError="1"/>
      <sheetData sheetId="1" refreshError="1"/>
      <sheetData sheetId="2" refreshError="1"/>
      <sheetData sheetId="3" refreshError="1"/>
      <sheetData sheetId="4" refreshError="1"/>
      <sheetData sheetId="5" refreshError="1"/>
      <sheetData sheetId="6" refreshError="1">
        <row r="1">
          <cell r="E1" t="str">
            <v>主责判定</v>
          </cell>
          <cell r="F1" t="str">
            <v>是否责任</v>
          </cell>
          <cell r="G1" t="str">
            <v>备注</v>
          </cell>
        </row>
        <row r="2">
          <cell r="E2" t="str">
            <v>中心</v>
          </cell>
          <cell r="F2" t="str">
            <v>责任</v>
          </cell>
        </row>
        <row r="3">
          <cell r="E3" t="str">
            <v>中心</v>
          </cell>
          <cell r="F3" t="str">
            <v>责任</v>
          </cell>
        </row>
        <row r="4">
          <cell r="E4" t="str">
            <v>中心</v>
          </cell>
          <cell r="F4" t="str">
            <v>责任</v>
          </cell>
        </row>
        <row r="5">
          <cell r="E5" t="str">
            <v>中心</v>
          </cell>
          <cell r="F5" t="str">
            <v>责任</v>
          </cell>
        </row>
        <row r="6">
          <cell r="E6" t="str">
            <v>中心</v>
          </cell>
          <cell r="F6" t="str">
            <v>责任</v>
          </cell>
        </row>
        <row r="7">
          <cell r="E7" t="str">
            <v>中心</v>
          </cell>
          <cell r="F7" t="str">
            <v>责任</v>
          </cell>
        </row>
        <row r="8">
          <cell r="E8" t="str">
            <v>中心</v>
          </cell>
          <cell r="F8" t="str">
            <v>责任</v>
          </cell>
          <cell r="G8" t="str">
            <v>2508新增</v>
          </cell>
        </row>
        <row r="9">
          <cell r="E9" t="str">
            <v>中心</v>
          </cell>
          <cell r="F9" t="str">
            <v>责任</v>
          </cell>
          <cell r="G9" t="str">
            <v>2509新增</v>
          </cell>
        </row>
        <row r="10">
          <cell r="E10" t="str">
            <v>个人</v>
          </cell>
          <cell r="F10" t="str">
            <v>责任</v>
          </cell>
          <cell r="G10" t="str">
            <v>2511新增</v>
          </cell>
        </row>
        <row r="11">
          <cell r="E11" t="str">
            <v>中心</v>
          </cell>
          <cell r="F11" t="str">
            <v>责任</v>
          </cell>
        </row>
        <row r="12">
          <cell r="E12" t="str">
            <v>中心</v>
          </cell>
          <cell r="F12" t="str">
            <v>责任</v>
          </cell>
        </row>
        <row r="13">
          <cell r="E13" t="str">
            <v>中心</v>
          </cell>
          <cell r="F13" t="str">
            <v>责任</v>
          </cell>
        </row>
        <row r="14">
          <cell r="E14" t="str">
            <v>中心</v>
          </cell>
          <cell r="F14" t="str">
            <v>责任</v>
          </cell>
        </row>
        <row r="15">
          <cell r="E15" t="str">
            <v>个人</v>
          </cell>
          <cell r="F15" t="str">
            <v>责任</v>
          </cell>
        </row>
        <row r="16">
          <cell r="E16" t="str">
            <v>个人</v>
          </cell>
          <cell r="F16" t="str">
            <v>责任</v>
          </cell>
        </row>
        <row r="17">
          <cell r="E17" t="str">
            <v>中心</v>
          </cell>
          <cell r="F17" t="str">
            <v>责任</v>
          </cell>
          <cell r="G17" t="str">
            <v>2506新增</v>
          </cell>
        </row>
        <row r="18">
          <cell r="E18" t="str">
            <v>中心</v>
          </cell>
          <cell r="F18" t="str">
            <v>责任</v>
          </cell>
          <cell r="G18" t="str">
            <v>2506新增</v>
          </cell>
        </row>
        <row r="19">
          <cell r="E19" t="str">
            <v>中心</v>
          </cell>
          <cell r="F19" t="str">
            <v>责任</v>
          </cell>
        </row>
        <row r="20">
          <cell r="E20" t="str">
            <v>个人</v>
          </cell>
          <cell r="F20" t="str">
            <v>责任</v>
          </cell>
        </row>
        <row r="21">
          <cell r="E21" t="str">
            <v>中心</v>
          </cell>
          <cell r="F21" t="str">
            <v>责任</v>
          </cell>
        </row>
        <row r="22">
          <cell r="E22" t="str">
            <v>车队/网点</v>
          </cell>
          <cell r="F22" t="str">
            <v>责任</v>
          </cell>
        </row>
        <row r="23">
          <cell r="E23" t="str">
            <v>中心</v>
          </cell>
          <cell r="F23" t="str">
            <v>责任</v>
          </cell>
          <cell r="G23" t="str">
            <v>2509新增</v>
          </cell>
        </row>
        <row r="24">
          <cell r="E24" t="str">
            <v>个人</v>
          </cell>
          <cell r="F24" t="str">
            <v>责任</v>
          </cell>
          <cell r="G24" t="str">
            <v>2511新增</v>
          </cell>
        </row>
        <row r="25">
          <cell r="E25" t="str">
            <v>无责</v>
          </cell>
          <cell r="F25" t="str">
            <v>无责</v>
          </cell>
        </row>
        <row r="26">
          <cell r="E26" t="str">
            <v>个人</v>
          </cell>
          <cell r="F26" t="str">
            <v>责任</v>
          </cell>
        </row>
        <row r="27">
          <cell r="E27" t="str">
            <v>无责</v>
          </cell>
          <cell r="F27" t="str">
            <v>无责</v>
          </cell>
        </row>
        <row r="28">
          <cell r="E28" t="str">
            <v>中心</v>
          </cell>
          <cell r="F28" t="str">
            <v>责任</v>
          </cell>
          <cell r="G28" t="str">
            <v>2506新增</v>
          </cell>
        </row>
        <row r="29">
          <cell r="E29" t="str">
            <v>中心</v>
          </cell>
          <cell r="F29" t="str">
            <v>责任</v>
          </cell>
        </row>
        <row r="30">
          <cell r="E30" t="str">
            <v>中心</v>
          </cell>
          <cell r="F30" t="str">
            <v>责任</v>
          </cell>
        </row>
        <row r="31">
          <cell r="E31" t="str">
            <v>无责</v>
          </cell>
          <cell r="F31" t="str">
            <v>无责</v>
          </cell>
        </row>
        <row r="32">
          <cell r="E32" t="str">
            <v>中心</v>
          </cell>
          <cell r="F32" t="str">
            <v>责任</v>
          </cell>
        </row>
        <row r="33">
          <cell r="E33" t="str">
            <v>中心</v>
          </cell>
          <cell r="F33" t="str">
            <v>责任</v>
          </cell>
        </row>
        <row r="34">
          <cell r="E34" t="str">
            <v>中心</v>
          </cell>
          <cell r="F34" t="str">
            <v>责任</v>
          </cell>
        </row>
        <row r="35">
          <cell r="E35" t="str">
            <v>无责</v>
          </cell>
          <cell r="F35" t="str">
            <v>无责</v>
          </cell>
          <cell r="G35" t="str">
            <v>2509新增</v>
          </cell>
        </row>
        <row r="36">
          <cell r="E36" t="str">
            <v>中心</v>
          </cell>
          <cell r="F36" t="str">
            <v>责任</v>
          </cell>
        </row>
        <row r="37">
          <cell r="E37" t="str">
            <v>中心</v>
          </cell>
          <cell r="F37" t="str">
            <v>责任</v>
          </cell>
        </row>
        <row r="38">
          <cell r="E38" t="str">
            <v>发件网点</v>
          </cell>
          <cell r="F38" t="str">
            <v>责任</v>
          </cell>
        </row>
        <row r="39">
          <cell r="E39" t="str">
            <v>发件网点/始发中心</v>
          </cell>
          <cell r="F39" t="str">
            <v>责任</v>
          </cell>
        </row>
        <row r="40">
          <cell r="E40" t="str">
            <v>中心</v>
          </cell>
          <cell r="F40" t="str">
            <v>责任</v>
          </cell>
        </row>
        <row r="41">
          <cell r="E41" t="str">
            <v>中心</v>
          </cell>
          <cell r="F41" t="str">
            <v>责任</v>
          </cell>
        </row>
        <row r="42">
          <cell r="E42" t="str">
            <v>无责</v>
          </cell>
          <cell r="F42" t="str">
            <v>无责</v>
          </cell>
        </row>
        <row r="43">
          <cell r="E43" t="str">
            <v>中心</v>
          </cell>
          <cell r="F43" t="str">
            <v>责任</v>
          </cell>
        </row>
        <row r="44">
          <cell r="E44" t="str">
            <v>无责</v>
          </cell>
          <cell r="F44" t="str">
            <v>无责</v>
          </cell>
        </row>
        <row r="45">
          <cell r="E45" t="str">
            <v>中心</v>
          </cell>
          <cell r="F45" t="str">
            <v>责任</v>
          </cell>
        </row>
        <row r="46">
          <cell r="E46" t="str">
            <v>中心</v>
          </cell>
          <cell r="F46" t="str">
            <v>责任</v>
          </cell>
        </row>
        <row r="47">
          <cell r="E47" t="str">
            <v>无责</v>
          </cell>
          <cell r="F47" t="str">
            <v>无责</v>
          </cell>
        </row>
        <row r="48">
          <cell r="E48" t="str">
            <v>中心</v>
          </cell>
          <cell r="F48" t="str">
            <v>责任</v>
          </cell>
          <cell r="G48" t="str">
            <v>2506新增</v>
          </cell>
        </row>
        <row r="49">
          <cell r="E49" t="str">
            <v>中心</v>
          </cell>
          <cell r="F49" t="str">
            <v>责任</v>
          </cell>
        </row>
        <row r="50">
          <cell r="E50" t="str">
            <v>中心/三方</v>
          </cell>
          <cell r="F50" t="str">
            <v>责任</v>
          </cell>
          <cell r="G50" t="str">
            <v>2506新增</v>
          </cell>
        </row>
        <row r="51">
          <cell r="E51" t="str">
            <v>寄递网点/始发中心</v>
          </cell>
          <cell r="F51" t="str">
            <v>责任</v>
          </cell>
        </row>
        <row r="52">
          <cell r="E52" t="str">
            <v>中心</v>
          </cell>
          <cell r="F52" t="str">
            <v>责任</v>
          </cell>
          <cell r="G52" t="str">
            <v>2506新增</v>
          </cell>
        </row>
        <row r="53">
          <cell r="E53" t="str">
            <v>中心/三方</v>
          </cell>
          <cell r="F53" t="str">
            <v>责任</v>
          </cell>
          <cell r="G53" t="str">
            <v>2509新增</v>
          </cell>
        </row>
        <row r="54">
          <cell r="E54" t="str">
            <v>无责</v>
          </cell>
          <cell r="F54" t="str">
            <v>无责</v>
          </cell>
          <cell r="G54" t="str">
            <v>2509新增</v>
          </cell>
        </row>
        <row r="55">
          <cell r="E55" t="str">
            <v>个人</v>
          </cell>
          <cell r="F55" t="str">
            <v>责任</v>
          </cell>
          <cell r="G55" t="str">
            <v>2509新增</v>
          </cell>
        </row>
      </sheetData>
      <sheetData sheetId="7" refreshError="1"/>
      <sheetData sheetId="8" refreshError="1"/>
      <sheetData sheetId="9" refreshError="1">
        <row r="1">
          <cell r="B1" t="str">
            <v>省区</v>
          </cell>
          <cell r="C1" t="str">
            <v>大区</v>
          </cell>
        </row>
        <row r="2">
          <cell r="B2" t="str">
            <v>江苏</v>
          </cell>
          <cell r="C2" t="str">
            <v>中</v>
          </cell>
        </row>
        <row r="3">
          <cell r="B3" t="str">
            <v>江苏</v>
          </cell>
          <cell r="C3" t="str">
            <v>中</v>
          </cell>
        </row>
        <row r="4">
          <cell r="B4" t="str">
            <v>江苏</v>
          </cell>
          <cell r="C4" t="str">
            <v>中</v>
          </cell>
        </row>
        <row r="5">
          <cell r="B5" t="str">
            <v>江苏</v>
          </cell>
          <cell r="C5" t="str">
            <v>中</v>
          </cell>
        </row>
        <row r="6">
          <cell r="B6" t="str">
            <v>江苏</v>
          </cell>
          <cell r="C6" t="str">
            <v>中</v>
          </cell>
        </row>
        <row r="7">
          <cell r="B7" t="str">
            <v>江苏</v>
          </cell>
          <cell r="C7" t="str">
            <v>中</v>
          </cell>
        </row>
        <row r="8">
          <cell r="B8" t="str">
            <v>浙江</v>
          </cell>
          <cell r="C8" t="str">
            <v>中</v>
          </cell>
        </row>
        <row r="9">
          <cell r="B9" t="str">
            <v>浙江</v>
          </cell>
          <cell r="C9" t="str">
            <v>中</v>
          </cell>
        </row>
        <row r="10">
          <cell r="B10" t="str">
            <v>浙江</v>
          </cell>
          <cell r="C10" t="str">
            <v>中</v>
          </cell>
        </row>
        <row r="11">
          <cell r="B11" t="str">
            <v>浙江</v>
          </cell>
          <cell r="C11" t="str">
            <v>中</v>
          </cell>
        </row>
        <row r="12">
          <cell r="B12" t="str">
            <v>浙江</v>
          </cell>
          <cell r="C12" t="str">
            <v>中</v>
          </cell>
        </row>
        <row r="13">
          <cell r="B13" t="str">
            <v>浙江</v>
          </cell>
          <cell r="C13" t="str">
            <v>中</v>
          </cell>
        </row>
        <row r="14">
          <cell r="B14" t="str">
            <v>浙江</v>
          </cell>
          <cell r="C14" t="str">
            <v>中</v>
          </cell>
        </row>
        <row r="15">
          <cell r="B15" t="str">
            <v>浙江</v>
          </cell>
          <cell r="C15" t="str">
            <v>中</v>
          </cell>
        </row>
        <row r="16">
          <cell r="B16" t="str">
            <v>江苏</v>
          </cell>
          <cell r="C16" t="str">
            <v>中</v>
          </cell>
        </row>
        <row r="17">
          <cell r="B17" t="str">
            <v>江苏</v>
          </cell>
          <cell r="C17" t="str">
            <v>中</v>
          </cell>
        </row>
        <row r="18">
          <cell r="B18" t="str">
            <v>江苏</v>
          </cell>
          <cell r="C18" t="str">
            <v>中</v>
          </cell>
        </row>
        <row r="19">
          <cell r="B19" t="str">
            <v>江苏</v>
          </cell>
          <cell r="C19" t="str">
            <v>中</v>
          </cell>
        </row>
        <row r="20">
          <cell r="B20" t="str">
            <v>江苏</v>
          </cell>
          <cell r="C20" t="str">
            <v>中</v>
          </cell>
        </row>
        <row r="21">
          <cell r="B21" t="str">
            <v>江苏</v>
          </cell>
          <cell r="C21" t="str">
            <v>中</v>
          </cell>
        </row>
        <row r="22">
          <cell r="B22" t="str">
            <v>江苏</v>
          </cell>
          <cell r="C22" t="str">
            <v>中</v>
          </cell>
        </row>
        <row r="23">
          <cell r="B23" t="str">
            <v>浙江</v>
          </cell>
          <cell r="C23" t="str">
            <v>中</v>
          </cell>
        </row>
        <row r="24">
          <cell r="B24" t="str">
            <v>上海</v>
          </cell>
          <cell r="C24" t="str">
            <v>中</v>
          </cell>
        </row>
        <row r="25">
          <cell r="B25" t="str">
            <v>上海</v>
          </cell>
          <cell r="C25" t="str">
            <v>中</v>
          </cell>
        </row>
        <row r="26">
          <cell r="B26" t="str">
            <v>安徽</v>
          </cell>
          <cell r="C26" t="str">
            <v>中</v>
          </cell>
        </row>
        <row r="27">
          <cell r="B27" t="str">
            <v>安徽</v>
          </cell>
          <cell r="C27" t="str">
            <v>中</v>
          </cell>
        </row>
        <row r="28">
          <cell r="B28" t="str">
            <v>安徽</v>
          </cell>
          <cell r="C28" t="str">
            <v>中</v>
          </cell>
        </row>
        <row r="29">
          <cell r="B29" t="str">
            <v>安徽</v>
          </cell>
          <cell r="C29" t="str">
            <v>中</v>
          </cell>
        </row>
        <row r="30">
          <cell r="B30" t="str">
            <v>安徽</v>
          </cell>
          <cell r="C30" t="str">
            <v>中</v>
          </cell>
        </row>
        <row r="31">
          <cell r="B31" t="str">
            <v>山东</v>
          </cell>
          <cell r="C31" t="str">
            <v>北</v>
          </cell>
        </row>
        <row r="32">
          <cell r="B32" t="str">
            <v>山东</v>
          </cell>
          <cell r="C32" t="str">
            <v>北</v>
          </cell>
        </row>
        <row r="33">
          <cell r="B33" t="str">
            <v>山东</v>
          </cell>
          <cell r="C33" t="str">
            <v>北</v>
          </cell>
        </row>
        <row r="34">
          <cell r="B34" t="str">
            <v>山东</v>
          </cell>
          <cell r="C34" t="str">
            <v>北</v>
          </cell>
        </row>
        <row r="35">
          <cell r="B35" t="str">
            <v>山东</v>
          </cell>
          <cell r="C35" t="str">
            <v>北</v>
          </cell>
        </row>
        <row r="36">
          <cell r="B36" t="str">
            <v>山东</v>
          </cell>
          <cell r="C36" t="str">
            <v>北</v>
          </cell>
        </row>
        <row r="37">
          <cell r="B37" t="str">
            <v>山东</v>
          </cell>
          <cell r="C37" t="str">
            <v>北</v>
          </cell>
        </row>
        <row r="38">
          <cell r="B38" t="str">
            <v>山东</v>
          </cell>
          <cell r="C38" t="str">
            <v>北</v>
          </cell>
        </row>
        <row r="39">
          <cell r="B39" t="str">
            <v>山东</v>
          </cell>
          <cell r="C39" t="str">
            <v>北</v>
          </cell>
        </row>
        <row r="40">
          <cell r="B40" t="str">
            <v>山东</v>
          </cell>
          <cell r="C40" t="str">
            <v>北</v>
          </cell>
        </row>
        <row r="41">
          <cell r="B41" t="str">
            <v>山东</v>
          </cell>
          <cell r="C41" t="str">
            <v>北</v>
          </cell>
        </row>
        <row r="42">
          <cell r="B42" t="str">
            <v>京津冀</v>
          </cell>
          <cell r="C42" t="str">
            <v>北</v>
          </cell>
        </row>
        <row r="43">
          <cell r="B43" t="str">
            <v>京津冀</v>
          </cell>
          <cell r="C43" t="str">
            <v>北</v>
          </cell>
        </row>
        <row r="44">
          <cell r="B44" t="str">
            <v>京津冀</v>
          </cell>
          <cell r="C44" t="str">
            <v>北</v>
          </cell>
        </row>
        <row r="45">
          <cell r="B45" t="str">
            <v>京津冀</v>
          </cell>
          <cell r="C45" t="str">
            <v>北</v>
          </cell>
        </row>
        <row r="46">
          <cell r="B46" t="str">
            <v>京津冀</v>
          </cell>
          <cell r="C46" t="str">
            <v>北</v>
          </cell>
        </row>
        <row r="47">
          <cell r="B47" t="str">
            <v>京津冀</v>
          </cell>
          <cell r="C47" t="str">
            <v>北</v>
          </cell>
        </row>
        <row r="48">
          <cell r="B48" t="str">
            <v>京津冀</v>
          </cell>
          <cell r="C48" t="str">
            <v>北</v>
          </cell>
        </row>
        <row r="49">
          <cell r="B49" t="str">
            <v>京津冀</v>
          </cell>
          <cell r="C49" t="str">
            <v>北</v>
          </cell>
        </row>
        <row r="50">
          <cell r="B50" t="str">
            <v>京津冀</v>
          </cell>
          <cell r="C50" t="str">
            <v>北</v>
          </cell>
        </row>
        <row r="51">
          <cell r="B51" t="str">
            <v>东北</v>
          </cell>
          <cell r="C51" t="str">
            <v>北</v>
          </cell>
        </row>
        <row r="52">
          <cell r="B52" t="str">
            <v>东北</v>
          </cell>
          <cell r="C52" t="str">
            <v>北</v>
          </cell>
        </row>
        <row r="53">
          <cell r="B53" t="str">
            <v>东北</v>
          </cell>
          <cell r="C53" t="str">
            <v>北</v>
          </cell>
        </row>
        <row r="54">
          <cell r="B54" t="str">
            <v>东北</v>
          </cell>
          <cell r="C54" t="str">
            <v>北</v>
          </cell>
        </row>
        <row r="55">
          <cell r="B55" t="str">
            <v>东北</v>
          </cell>
          <cell r="C55" t="str">
            <v>北</v>
          </cell>
        </row>
        <row r="56">
          <cell r="B56" t="str">
            <v>东北</v>
          </cell>
          <cell r="C56" t="str">
            <v>北</v>
          </cell>
        </row>
        <row r="57">
          <cell r="B57" t="str">
            <v>东北</v>
          </cell>
          <cell r="C57" t="str">
            <v>北</v>
          </cell>
        </row>
        <row r="58">
          <cell r="B58" t="str">
            <v>东北</v>
          </cell>
          <cell r="C58" t="str">
            <v>北</v>
          </cell>
        </row>
        <row r="59">
          <cell r="B59" t="str">
            <v>山西</v>
          </cell>
          <cell r="C59" t="str">
            <v>北</v>
          </cell>
        </row>
        <row r="60">
          <cell r="B60" t="str">
            <v>山西</v>
          </cell>
          <cell r="C60" t="str">
            <v>北</v>
          </cell>
        </row>
        <row r="61">
          <cell r="B61" t="str">
            <v>山西</v>
          </cell>
          <cell r="C61" t="str">
            <v>北</v>
          </cell>
        </row>
        <row r="62">
          <cell r="B62" t="str">
            <v>内蒙</v>
          </cell>
          <cell r="C62" t="str">
            <v>北</v>
          </cell>
        </row>
        <row r="63">
          <cell r="B63" t="str">
            <v>内蒙</v>
          </cell>
          <cell r="C63" t="str">
            <v>北</v>
          </cell>
        </row>
        <row r="64">
          <cell r="B64" t="str">
            <v>内蒙</v>
          </cell>
          <cell r="C64" t="str">
            <v>北</v>
          </cell>
        </row>
        <row r="65">
          <cell r="B65" t="str">
            <v>西北</v>
          </cell>
          <cell r="C65" t="str">
            <v>北</v>
          </cell>
        </row>
        <row r="66">
          <cell r="B66" t="str">
            <v>西北</v>
          </cell>
          <cell r="C66" t="str">
            <v>北</v>
          </cell>
        </row>
        <row r="67">
          <cell r="B67" t="str">
            <v>西北</v>
          </cell>
          <cell r="C67" t="str">
            <v>北</v>
          </cell>
        </row>
        <row r="68">
          <cell r="B68" t="str">
            <v>西北</v>
          </cell>
          <cell r="C68" t="str">
            <v>北</v>
          </cell>
        </row>
        <row r="69">
          <cell r="B69" t="str">
            <v>西北</v>
          </cell>
          <cell r="C69" t="str">
            <v>北</v>
          </cell>
        </row>
        <row r="70">
          <cell r="B70" t="str">
            <v>西北</v>
          </cell>
          <cell r="C70" t="str">
            <v>北</v>
          </cell>
        </row>
        <row r="71">
          <cell r="B71" t="str">
            <v>西北</v>
          </cell>
          <cell r="C71" t="str">
            <v>北</v>
          </cell>
        </row>
        <row r="72">
          <cell r="B72" t="str">
            <v>广东</v>
          </cell>
          <cell r="C72" t="str">
            <v>南</v>
          </cell>
        </row>
        <row r="73">
          <cell r="B73" t="str">
            <v>广东</v>
          </cell>
          <cell r="C73" t="str">
            <v>南</v>
          </cell>
        </row>
        <row r="74">
          <cell r="B74" t="str">
            <v>广东</v>
          </cell>
          <cell r="C74" t="str">
            <v>南</v>
          </cell>
        </row>
        <row r="75">
          <cell r="B75" t="str">
            <v>广东</v>
          </cell>
          <cell r="C75" t="str">
            <v>南</v>
          </cell>
        </row>
        <row r="76">
          <cell r="B76" t="str">
            <v>广东</v>
          </cell>
          <cell r="C76" t="str">
            <v>南</v>
          </cell>
        </row>
        <row r="77">
          <cell r="B77" t="str">
            <v>广东</v>
          </cell>
          <cell r="C77" t="str">
            <v>南</v>
          </cell>
        </row>
        <row r="78">
          <cell r="B78" t="str">
            <v>广东</v>
          </cell>
          <cell r="C78" t="str">
            <v>南</v>
          </cell>
        </row>
        <row r="79">
          <cell r="B79" t="str">
            <v>广东</v>
          </cell>
          <cell r="C79" t="str">
            <v>南</v>
          </cell>
        </row>
        <row r="80">
          <cell r="B80" t="str">
            <v>广东</v>
          </cell>
          <cell r="C80" t="str">
            <v>南</v>
          </cell>
        </row>
        <row r="81">
          <cell r="B81" t="str">
            <v>广东</v>
          </cell>
          <cell r="C81" t="str">
            <v>南</v>
          </cell>
        </row>
        <row r="82">
          <cell r="B82" t="str">
            <v>广东</v>
          </cell>
          <cell r="C82" t="str">
            <v>南</v>
          </cell>
        </row>
        <row r="83">
          <cell r="B83" t="str">
            <v>广东</v>
          </cell>
          <cell r="C83" t="str">
            <v>南</v>
          </cell>
        </row>
        <row r="84">
          <cell r="B84" t="str">
            <v>广东</v>
          </cell>
          <cell r="C84" t="str">
            <v>南</v>
          </cell>
        </row>
        <row r="85">
          <cell r="B85" t="str">
            <v>广东</v>
          </cell>
          <cell r="C85" t="str">
            <v>南</v>
          </cell>
        </row>
        <row r="86">
          <cell r="B86" t="str">
            <v>广东</v>
          </cell>
          <cell r="C86" t="str">
            <v>南</v>
          </cell>
        </row>
        <row r="87">
          <cell r="B87" t="str">
            <v>广东</v>
          </cell>
          <cell r="C87" t="str">
            <v>南</v>
          </cell>
        </row>
        <row r="88">
          <cell r="B88" t="str">
            <v>广东</v>
          </cell>
          <cell r="C88" t="str">
            <v>南</v>
          </cell>
        </row>
        <row r="89">
          <cell r="B89" t="str">
            <v>广东</v>
          </cell>
          <cell r="C89" t="str">
            <v>南</v>
          </cell>
        </row>
        <row r="90">
          <cell r="B90" t="str">
            <v>广东</v>
          </cell>
          <cell r="C90" t="str">
            <v>南</v>
          </cell>
        </row>
        <row r="91">
          <cell r="B91" t="str">
            <v>广东</v>
          </cell>
          <cell r="C91" t="str">
            <v>南</v>
          </cell>
        </row>
        <row r="92">
          <cell r="B92" t="str">
            <v>广东</v>
          </cell>
          <cell r="C92" t="str">
            <v>南</v>
          </cell>
        </row>
        <row r="93">
          <cell r="B93" t="str">
            <v>广东</v>
          </cell>
          <cell r="C93" t="str">
            <v>南</v>
          </cell>
        </row>
        <row r="94">
          <cell r="B94" t="str">
            <v>广东</v>
          </cell>
          <cell r="C94" t="str">
            <v>南</v>
          </cell>
        </row>
        <row r="95">
          <cell r="B95" t="str">
            <v>广东</v>
          </cell>
          <cell r="C95" t="str">
            <v>南</v>
          </cell>
        </row>
        <row r="96">
          <cell r="B96" t="str">
            <v>广东</v>
          </cell>
          <cell r="C96" t="str">
            <v>南</v>
          </cell>
        </row>
        <row r="97">
          <cell r="B97" t="str">
            <v>福建</v>
          </cell>
          <cell r="C97" t="str">
            <v>南</v>
          </cell>
        </row>
        <row r="98">
          <cell r="B98" t="str">
            <v>福建</v>
          </cell>
          <cell r="C98" t="str">
            <v>南</v>
          </cell>
        </row>
        <row r="99">
          <cell r="B99" t="str">
            <v>福建</v>
          </cell>
          <cell r="C99" t="str">
            <v>南</v>
          </cell>
        </row>
        <row r="100">
          <cell r="B100" t="str">
            <v>福建</v>
          </cell>
          <cell r="C100" t="str">
            <v>南</v>
          </cell>
        </row>
        <row r="101">
          <cell r="B101" t="str">
            <v>福建</v>
          </cell>
          <cell r="C101" t="str">
            <v>南</v>
          </cell>
        </row>
        <row r="102">
          <cell r="B102" t="str">
            <v>福建</v>
          </cell>
          <cell r="C102" t="str">
            <v>南</v>
          </cell>
        </row>
        <row r="103">
          <cell r="B103" t="str">
            <v>广西</v>
          </cell>
          <cell r="C103" t="str">
            <v>南</v>
          </cell>
        </row>
        <row r="104">
          <cell r="B104" t="str">
            <v>广西</v>
          </cell>
          <cell r="C104" t="str">
            <v>南</v>
          </cell>
        </row>
        <row r="105">
          <cell r="B105" t="str">
            <v>广西</v>
          </cell>
          <cell r="C105" t="str">
            <v>南</v>
          </cell>
        </row>
        <row r="106">
          <cell r="B106" t="str">
            <v>湖北</v>
          </cell>
          <cell r="C106" t="str">
            <v>中</v>
          </cell>
        </row>
        <row r="107">
          <cell r="B107" t="str">
            <v>湖北</v>
          </cell>
          <cell r="C107" t="str">
            <v>中</v>
          </cell>
        </row>
        <row r="108">
          <cell r="B108" t="str">
            <v>湖北</v>
          </cell>
          <cell r="C108" t="str">
            <v>中</v>
          </cell>
        </row>
        <row r="109">
          <cell r="B109" t="str">
            <v>湖南</v>
          </cell>
          <cell r="C109" t="str">
            <v>南</v>
          </cell>
        </row>
        <row r="110">
          <cell r="B110" t="str">
            <v>湖南</v>
          </cell>
          <cell r="C110" t="str">
            <v>南</v>
          </cell>
        </row>
        <row r="111">
          <cell r="B111" t="str">
            <v>湖南</v>
          </cell>
          <cell r="C111" t="str">
            <v>南</v>
          </cell>
        </row>
        <row r="112">
          <cell r="B112" t="str">
            <v>河南</v>
          </cell>
          <cell r="C112" t="str">
            <v>北</v>
          </cell>
        </row>
        <row r="113">
          <cell r="B113" t="str">
            <v>河南</v>
          </cell>
          <cell r="C113" t="str">
            <v>北</v>
          </cell>
        </row>
        <row r="114">
          <cell r="B114" t="str">
            <v>河南</v>
          </cell>
          <cell r="C114" t="str">
            <v>北</v>
          </cell>
        </row>
        <row r="115">
          <cell r="B115" t="str">
            <v>河南</v>
          </cell>
          <cell r="C115" t="str">
            <v>北</v>
          </cell>
        </row>
        <row r="116">
          <cell r="B116" t="str">
            <v>河南</v>
          </cell>
          <cell r="C116" t="str">
            <v>北</v>
          </cell>
        </row>
        <row r="117">
          <cell r="B117" t="str">
            <v>江西</v>
          </cell>
          <cell r="C117" t="str">
            <v>南</v>
          </cell>
        </row>
        <row r="118">
          <cell r="B118" t="str">
            <v>江西</v>
          </cell>
          <cell r="C118" t="str">
            <v>南</v>
          </cell>
        </row>
        <row r="119">
          <cell r="B119" t="str">
            <v>江西</v>
          </cell>
          <cell r="C119" t="str">
            <v>南</v>
          </cell>
        </row>
        <row r="120">
          <cell r="B120" t="str">
            <v>江西</v>
          </cell>
          <cell r="C120" t="str">
            <v>南</v>
          </cell>
        </row>
        <row r="121">
          <cell r="B121" t="str">
            <v>江西</v>
          </cell>
          <cell r="C121" t="str">
            <v>南</v>
          </cell>
        </row>
        <row r="122">
          <cell r="B122" t="str">
            <v>江西</v>
          </cell>
          <cell r="C122" t="str">
            <v>南</v>
          </cell>
        </row>
        <row r="123">
          <cell r="B123" t="str">
            <v>江西</v>
          </cell>
          <cell r="C123" t="str">
            <v>南</v>
          </cell>
        </row>
        <row r="124">
          <cell r="B124" t="str">
            <v>云南</v>
          </cell>
          <cell r="C124" t="str">
            <v>中</v>
          </cell>
        </row>
        <row r="125">
          <cell r="B125" t="str">
            <v>贵州</v>
          </cell>
          <cell r="C125" t="str">
            <v>中</v>
          </cell>
        </row>
        <row r="126">
          <cell r="B126" t="str">
            <v>川藏</v>
          </cell>
          <cell r="C126" t="str">
            <v>中</v>
          </cell>
        </row>
        <row r="127">
          <cell r="B127" t="str">
            <v>川藏</v>
          </cell>
          <cell r="C127" t="str">
            <v>中</v>
          </cell>
        </row>
        <row r="128">
          <cell r="B128" t="str">
            <v>川藏</v>
          </cell>
          <cell r="C128" t="str">
            <v>中</v>
          </cell>
        </row>
        <row r="129">
          <cell r="B129" t="str">
            <v>川藏</v>
          </cell>
          <cell r="C129" t="str">
            <v>中</v>
          </cell>
        </row>
        <row r="130">
          <cell r="B130" t="str">
            <v>川藏</v>
          </cell>
          <cell r="C130" t="str">
            <v>中</v>
          </cell>
        </row>
        <row r="131">
          <cell r="B131" t="str">
            <v>川藏</v>
          </cell>
          <cell r="C131" t="str">
            <v>中</v>
          </cell>
        </row>
        <row r="132">
          <cell r="B132" t="str">
            <v>川藏</v>
          </cell>
          <cell r="C132" t="str">
            <v>中</v>
          </cell>
        </row>
        <row r="133">
          <cell r="B133" t="str">
            <v>重庆</v>
          </cell>
          <cell r="C133" t="str">
            <v>中</v>
          </cell>
        </row>
        <row r="134">
          <cell r="B134" t="str">
            <v>重庆</v>
          </cell>
          <cell r="C134" t="str">
            <v>中</v>
          </cell>
        </row>
        <row r="135">
          <cell r="B135" t="str">
            <v>-</v>
          </cell>
          <cell r="C135" t="str">
            <v>-</v>
          </cell>
        </row>
        <row r="136">
          <cell r="B136" t="str">
            <v>-</v>
          </cell>
          <cell r="C136" t="str">
            <v>-</v>
          </cell>
        </row>
        <row r="137">
          <cell r="B137" t="str">
            <v>广东</v>
          </cell>
          <cell r="C137" t="str">
            <v>南</v>
          </cell>
        </row>
        <row r="138">
          <cell r="B138" t="str">
            <v>广东</v>
          </cell>
          <cell r="C138" t="str">
            <v>南</v>
          </cell>
        </row>
        <row r="139">
          <cell r="B139" t="str">
            <v>山西</v>
          </cell>
          <cell r="C139" t="str">
            <v>北</v>
          </cell>
        </row>
        <row r="140">
          <cell r="B140" t="str">
            <v>广东</v>
          </cell>
          <cell r="C140" t="str">
            <v>南</v>
          </cell>
        </row>
        <row r="141">
          <cell r="B141" t="str">
            <v>广东</v>
          </cell>
          <cell r="C141" t="str">
            <v>南</v>
          </cell>
        </row>
        <row r="142">
          <cell r="B142" t="str">
            <v>江西</v>
          </cell>
          <cell r="C142" t="str">
            <v>南</v>
          </cell>
        </row>
        <row r="143">
          <cell r="B143" t="str">
            <v>浙江</v>
          </cell>
          <cell r="C143" t="str">
            <v>中</v>
          </cell>
        </row>
        <row r="144">
          <cell r="B144" t="str">
            <v>-</v>
          </cell>
          <cell r="C144" t="str">
            <v>-</v>
          </cell>
        </row>
        <row r="145">
          <cell r="B145" t="str">
            <v>-</v>
          </cell>
          <cell r="C145" t="str">
            <v>-</v>
          </cell>
        </row>
        <row r="146">
          <cell r="B146" t="str">
            <v>浙江</v>
          </cell>
          <cell r="C146" t="str">
            <v>中</v>
          </cell>
        </row>
      </sheetData>
      <sheetData sheetId="1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
  <sheetViews>
    <sheetView topLeftCell="B6" workbookViewId="0">
      <selection activeCell="L13" sqref="L13"/>
    </sheetView>
  </sheetViews>
  <sheetFormatPr defaultColWidth="9" defaultRowHeight="16.8"/>
  <cols>
    <col min="1" max="1" width="9" style="105"/>
    <col min="2" max="2" width="18.1057692307692" style="105" customWidth="1"/>
    <col min="3" max="4" width="9.61538461538461" style="105" customWidth="1"/>
    <col min="5" max="5" width="12.2307692307692" style="105" customWidth="1"/>
    <col min="6" max="6" width="14.8461538461538" style="105"/>
    <col min="7" max="9" width="14.125" style="105"/>
    <col min="10" max="14" width="12.4615384615385" style="105" customWidth="1"/>
    <col min="15" max="15" width="16.1538461538462" style="105"/>
    <col min="16" max="16" width="12.4615384615385" style="105" customWidth="1"/>
    <col min="17" max="17" width="15.4615384615385" style="105" customWidth="1"/>
    <col min="18" max="18" width="12.4615384615385" style="105" customWidth="1"/>
    <col min="19" max="19" width="13.9230769230769" style="105"/>
    <col min="20" max="16384" width="9" style="105"/>
  </cols>
  <sheetData>
    <row r="1" hidden="1" spans="1:19">
      <c r="A1" s="106" t="s">
        <v>0</v>
      </c>
      <c r="B1" s="107" t="s">
        <v>1</v>
      </c>
      <c r="C1" s="107"/>
      <c r="D1" s="107"/>
      <c r="E1" s="108" t="s">
        <v>2</v>
      </c>
      <c r="F1" s="108" t="s">
        <v>3</v>
      </c>
      <c r="G1" s="108" t="s">
        <v>4</v>
      </c>
      <c r="H1" s="108" t="s">
        <v>5</v>
      </c>
      <c r="I1" s="108" t="s">
        <v>6</v>
      </c>
      <c r="J1" s="108" t="s">
        <v>7</v>
      </c>
      <c r="K1" s="108" t="s">
        <v>8</v>
      </c>
      <c r="L1" s="108" t="s">
        <v>9</v>
      </c>
      <c r="M1" s="108" t="s">
        <v>10</v>
      </c>
      <c r="N1" s="108" t="s">
        <v>11</v>
      </c>
      <c r="O1" s="108" t="s">
        <v>12</v>
      </c>
      <c r="P1" s="108" t="s">
        <v>13</v>
      </c>
      <c r="Q1" s="108" t="s">
        <v>14</v>
      </c>
      <c r="R1" s="108" t="s">
        <v>15</v>
      </c>
    </row>
    <row r="2" ht="13.5" hidden="1" customHeight="1" spans="1:19">
      <c r="A2" s="109"/>
      <c r="B2" s="107" t="s">
        <v>16</v>
      </c>
      <c r="C2" s="107"/>
      <c r="D2" s="107"/>
      <c r="E2" s="108">
        <v>2024</v>
      </c>
      <c r="F2" s="108">
        <v>112</v>
      </c>
      <c r="G2" s="108">
        <v>18</v>
      </c>
      <c r="H2" s="110">
        <v>19</v>
      </c>
      <c r="I2" s="108">
        <v>18</v>
      </c>
      <c r="J2" s="108">
        <v>30</v>
      </c>
      <c r="K2" s="108">
        <v>27</v>
      </c>
      <c r="L2" s="108">
        <v>32</v>
      </c>
      <c r="M2" s="108">
        <v>33</v>
      </c>
      <c r="N2" s="108">
        <v>50</v>
      </c>
      <c r="O2" s="108">
        <v>37</v>
      </c>
      <c r="P2" s="108">
        <v>42</v>
      </c>
      <c r="Q2" s="108">
        <v>45</v>
      </c>
      <c r="R2" s="108">
        <v>41</v>
      </c>
    </row>
    <row r="3" hidden="1" spans="1:19">
      <c r="A3" s="109"/>
      <c r="B3" s="107"/>
      <c r="C3" s="107"/>
      <c r="D3" s="107"/>
      <c r="E3" s="108">
        <v>2025</v>
      </c>
      <c r="F3" s="108">
        <v>126</v>
      </c>
      <c r="G3" s="108">
        <v>20</v>
      </c>
      <c r="H3" s="108">
        <v>31</v>
      </c>
      <c r="I3" s="108">
        <v>32</v>
      </c>
      <c r="J3" s="108">
        <v>18</v>
      </c>
      <c r="K3" s="108">
        <v>25</v>
      </c>
      <c r="L3" s="108"/>
      <c r="M3" s="108"/>
      <c r="N3" s="108"/>
      <c r="O3" s="108"/>
      <c r="P3" s="108"/>
      <c r="Q3" s="108"/>
      <c r="R3" s="108"/>
    </row>
    <row r="4" ht="13.5" hidden="1" customHeight="1" spans="1:19">
      <c r="A4" s="109"/>
      <c r="B4" s="107" t="s">
        <v>17</v>
      </c>
      <c r="C4" s="107"/>
      <c r="D4" s="107"/>
      <c r="E4" s="108">
        <v>2024</v>
      </c>
      <c r="F4" s="108">
        <v>0.63</v>
      </c>
      <c r="G4" s="108">
        <v>0.36</v>
      </c>
      <c r="H4" s="108">
        <v>0.24</v>
      </c>
      <c r="I4" s="108">
        <v>0.52</v>
      </c>
      <c r="J4" s="108">
        <v>0.56</v>
      </c>
      <c r="K4" s="108">
        <v>0.62</v>
      </c>
      <c r="L4" s="108">
        <v>0.67</v>
      </c>
      <c r="M4" s="108">
        <v>0.65</v>
      </c>
      <c r="N4" s="108">
        <v>0.97</v>
      </c>
      <c r="O4" s="108">
        <v>0.68</v>
      </c>
      <c r="P4" s="108">
        <v>0.72</v>
      </c>
      <c r="Q4" s="108">
        <v>0.7</v>
      </c>
      <c r="R4" s="108">
        <v>0.72</v>
      </c>
    </row>
    <row r="5" hidden="1" spans="1:19">
      <c r="A5" s="111"/>
      <c r="B5" s="107"/>
      <c r="C5" s="107"/>
      <c r="D5" s="107"/>
      <c r="E5" s="108">
        <v>2025</v>
      </c>
      <c r="F5" s="108">
        <v>0.36</v>
      </c>
      <c r="G5" s="108">
        <v>0.37</v>
      </c>
      <c r="H5" s="108">
        <v>0.46</v>
      </c>
      <c r="I5" s="108">
        <v>0.22</v>
      </c>
      <c r="J5" s="108"/>
      <c r="K5" s="108"/>
      <c r="L5" s="108"/>
      <c r="M5" s="108"/>
      <c r="N5" s="108"/>
      <c r="O5" s="108"/>
      <c r="P5" s="108"/>
      <c r="Q5" s="108"/>
      <c r="R5" s="108"/>
    </row>
    <row r="7" spans="1:19">
      <c r="A7" s="112" t="s">
        <v>18</v>
      </c>
      <c r="B7" s="113" t="s">
        <v>1</v>
      </c>
      <c r="C7" s="114" t="s">
        <v>19</v>
      </c>
      <c r="D7" s="114"/>
      <c r="E7" s="113" t="s">
        <v>2</v>
      </c>
      <c r="F7" s="113" t="s">
        <v>3</v>
      </c>
      <c r="G7" s="113" t="s">
        <v>4</v>
      </c>
      <c r="H7" s="113" t="s">
        <v>5</v>
      </c>
      <c r="I7" s="113" t="s">
        <v>6</v>
      </c>
      <c r="J7" s="113" t="s">
        <v>7</v>
      </c>
      <c r="K7" s="113" t="s">
        <v>8</v>
      </c>
      <c r="L7" s="113" t="s">
        <v>9</v>
      </c>
      <c r="M7" s="113" t="s">
        <v>10</v>
      </c>
      <c r="N7" s="113" t="s">
        <v>11</v>
      </c>
      <c r="O7" s="113" t="s">
        <v>12</v>
      </c>
      <c r="P7" s="113" t="s">
        <v>13</v>
      </c>
      <c r="Q7" s="113" t="s">
        <v>14</v>
      </c>
      <c r="R7" s="113" t="s">
        <v>15</v>
      </c>
      <c r="S7" s="113" t="s">
        <v>20</v>
      </c>
    </row>
    <row r="8" ht="17.6" spans="1:19">
      <c r="A8" s="112"/>
      <c r="B8" s="106" t="s">
        <v>16</v>
      </c>
      <c r="C8" s="115"/>
      <c r="D8" s="116" t="s">
        <v>21</v>
      </c>
      <c r="E8" s="117">
        <v>2023</v>
      </c>
      <c r="F8" s="108">
        <f t="shared" ref="F8:F13" si="0">SUM(G8:R8)</f>
        <v>238</v>
      </c>
      <c r="G8" s="118">
        <v>18</v>
      </c>
      <c r="H8" s="118">
        <v>19</v>
      </c>
      <c r="I8" s="118">
        <v>18</v>
      </c>
      <c r="J8" s="118">
        <v>30</v>
      </c>
      <c r="K8" s="118">
        <v>21</v>
      </c>
      <c r="L8" s="118">
        <v>13</v>
      </c>
      <c r="M8" s="118">
        <v>19</v>
      </c>
      <c r="N8" s="118">
        <v>15</v>
      </c>
      <c r="O8" s="118">
        <v>16</v>
      </c>
      <c r="P8" s="118">
        <v>20</v>
      </c>
      <c r="Q8" s="118">
        <v>22</v>
      </c>
      <c r="R8" s="118">
        <v>27</v>
      </c>
      <c r="S8" s="108">
        <f t="shared" ref="S8:S13" si="1">SUM(G8:R8)</f>
        <v>238</v>
      </c>
    </row>
    <row r="9" spans="1:19">
      <c r="A9" s="112"/>
      <c r="B9" s="109"/>
      <c r="C9" s="115"/>
      <c r="D9" s="116"/>
      <c r="E9" s="108">
        <v>2024</v>
      </c>
      <c r="F9" s="108">
        <f t="shared" si="0"/>
        <v>325</v>
      </c>
      <c r="G9" s="108">
        <v>18</v>
      </c>
      <c r="H9" s="108">
        <v>7</v>
      </c>
      <c r="I9" s="108">
        <v>20</v>
      </c>
      <c r="J9" s="108">
        <v>28</v>
      </c>
      <c r="K9" s="108">
        <v>30</v>
      </c>
      <c r="L9" s="108">
        <v>34</v>
      </c>
      <c r="M9" s="108">
        <v>26</v>
      </c>
      <c r="N9" s="108">
        <v>37</v>
      </c>
      <c r="O9" s="108">
        <v>27</v>
      </c>
      <c r="P9" s="108">
        <v>34</v>
      </c>
      <c r="Q9" s="108">
        <v>34</v>
      </c>
      <c r="R9" s="108">
        <v>30</v>
      </c>
      <c r="S9" s="108">
        <f t="shared" si="1"/>
        <v>325</v>
      </c>
    </row>
    <row r="10" spans="1:19">
      <c r="A10" s="112"/>
      <c r="B10" s="111"/>
      <c r="C10" s="115"/>
      <c r="D10" s="116"/>
      <c r="E10" s="108">
        <v>2025</v>
      </c>
      <c r="F10" s="108">
        <f t="shared" si="0"/>
        <v>319</v>
      </c>
      <c r="G10" s="108">
        <v>22</v>
      </c>
      <c r="H10" s="108">
        <v>33</v>
      </c>
      <c r="I10" s="108">
        <v>29</v>
      </c>
      <c r="J10" s="108">
        <v>18</v>
      </c>
      <c r="K10" s="108">
        <v>25</v>
      </c>
      <c r="L10" s="108">
        <v>27</v>
      </c>
      <c r="M10" s="108">
        <v>28</v>
      </c>
      <c r="N10" s="108">
        <v>27</v>
      </c>
      <c r="O10" s="108">
        <v>36</v>
      </c>
      <c r="P10" s="108">
        <v>25</v>
      </c>
      <c r="Q10" s="108">
        <v>29</v>
      </c>
      <c r="R10" s="108">
        <v>20</v>
      </c>
      <c r="S10" s="108">
        <f t="shared" si="1"/>
        <v>319</v>
      </c>
    </row>
    <row r="11" ht="17.6" spans="1:19">
      <c r="A11" s="112"/>
      <c r="B11" s="109" t="s">
        <v>22</v>
      </c>
      <c r="C11" s="115"/>
      <c r="D11" s="116" t="s">
        <v>22</v>
      </c>
      <c r="E11" s="108">
        <v>2023</v>
      </c>
      <c r="F11" s="108">
        <f t="shared" si="0"/>
        <v>120340705</v>
      </c>
      <c r="G11" s="119">
        <v>6437440</v>
      </c>
      <c r="H11" s="119">
        <v>8549416</v>
      </c>
      <c r="I11" s="119">
        <v>9292640</v>
      </c>
      <c r="J11" s="119">
        <v>8853608</v>
      </c>
      <c r="K11" s="119">
        <v>9523512</v>
      </c>
      <c r="L11" s="119">
        <v>9804424</v>
      </c>
      <c r="M11" s="119">
        <v>9526752</v>
      </c>
      <c r="N11" s="119">
        <v>9467864</v>
      </c>
      <c r="O11" s="119">
        <v>10293752</v>
      </c>
      <c r="P11" s="119">
        <v>10506432</v>
      </c>
      <c r="Q11" s="119">
        <v>10893336</v>
      </c>
      <c r="R11" s="108">
        <v>17191529</v>
      </c>
      <c r="S11" s="108">
        <f t="shared" si="1"/>
        <v>120340705</v>
      </c>
    </row>
    <row r="12" spans="1:19">
      <c r="A12" s="112"/>
      <c r="B12" s="109"/>
      <c r="C12" s="115"/>
      <c r="D12" s="116"/>
      <c r="E12" s="108">
        <v>2024</v>
      </c>
      <c r="F12" s="108">
        <f t="shared" si="0"/>
        <v>154976190</v>
      </c>
      <c r="G12" s="108">
        <v>13029750</v>
      </c>
      <c r="H12" s="108">
        <v>8207940</v>
      </c>
      <c r="I12" s="108">
        <v>12868270</v>
      </c>
      <c r="J12" s="108">
        <v>11989600</v>
      </c>
      <c r="K12" s="108">
        <v>12929950</v>
      </c>
      <c r="L12" s="108">
        <v>13047930</v>
      </c>
      <c r="M12" s="108">
        <v>13405790</v>
      </c>
      <c r="N12" s="108">
        <v>13140000</v>
      </c>
      <c r="O12" s="108">
        <v>13144940</v>
      </c>
      <c r="P12" s="108">
        <v>14485140</v>
      </c>
      <c r="Q12" s="108">
        <v>14281280</v>
      </c>
      <c r="R12" s="108">
        <v>14445600</v>
      </c>
      <c r="S12" s="108">
        <f t="shared" si="1"/>
        <v>154976190</v>
      </c>
    </row>
    <row r="13" spans="1:19">
      <c r="A13" s="112"/>
      <c r="B13" s="111"/>
      <c r="C13" s="115"/>
      <c r="D13" s="116"/>
      <c r="E13" s="108">
        <v>2025</v>
      </c>
      <c r="F13" s="120">
        <f t="shared" si="0"/>
        <v>164125910</v>
      </c>
      <c r="G13" s="120">
        <v>12020220</v>
      </c>
      <c r="H13" s="120">
        <v>11698910</v>
      </c>
      <c r="I13" s="120">
        <v>14024940</v>
      </c>
      <c r="J13" s="108">
        <v>13425850</v>
      </c>
      <c r="K13" s="108">
        <v>14214090</v>
      </c>
      <c r="L13" s="108">
        <v>14014220</v>
      </c>
      <c r="M13" s="108">
        <v>14428630</v>
      </c>
      <c r="N13" s="108">
        <v>14528510</v>
      </c>
      <c r="O13" s="110">
        <v>14658390</v>
      </c>
      <c r="P13" s="108">
        <v>15257950</v>
      </c>
      <c r="Q13" s="108">
        <v>15491820</v>
      </c>
      <c r="R13" s="108">
        <v>10362380</v>
      </c>
      <c r="S13" s="108">
        <f t="shared" si="1"/>
        <v>164125910</v>
      </c>
    </row>
    <row r="14" spans="1:19">
      <c r="A14" s="112"/>
      <c r="B14" s="109" t="s">
        <v>17</v>
      </c>
      <c r="C14" s="115"/>
      <c r="D14" s="116" t="s">
        <v>23</v>
      </c>
      <c r="E14" s="108">
        <v>2023</v>
      </c>
      <c r="F14" s="121">
        <f>F8/F11*200000</f>
        <v>0.395543635879481</v>
      </c>
      <c r="G14" s="121">
        <f t="shared" ref="G14:S14" si="2">G8/G11*200000</f>
        <v>0.559228513197793</v>
      </c>
      <c r="H14" s="121">
        <f t="shared" si="2"/>
        <v>0.444474803893038</v>
      </c>
      <c r="I14" s="121">
        <f t="shared" si="2"/>
        <v>0.387403364382996</v>
      </c>
      <c r="J14" s="121">
        <f t="shared" si="2"/>
        <v>0.67768981865924</v>
      </c>
      <c r="K14" s="121">
        <f t="shared" si="2"/>
        <v>0.441013777270402</v>
      </c>
      <c r="L14" s="121">
        <f t="shared" si="2"/>
        <v>0.265186409726874</v>
      </c>
      <c r="M14" s="121">
        <f t="shared" si="2"/>
        <v>0.398876763035293</v>
      </c>
      <c r="N14" s="121">
        <f t="shared" si="2"/>
        <v>0.316861332186436</v>
      </c>
      <c r="O14" s="121">
        <f t="shared" si="2"/>
        <v>0.31086818489507</v>
      </c>
      <c r="P14" s="121">
        <f t="shared" si="2"/>
        <v>0.380719163270652</v>
      </c>
      <c r="Q14" s="121">
        <f t="shared" si="2"/>
        <v>0.403916669787841</v>
      </c>
      <c r="R14" s="121">
        <f t="shared" si="2"/>
        <v>0.31410818665402</v>
      </c>
      <c r="S14" s="121">
        <f t="shared" si="2"/>
        <v>0.395543635879481</v>
      </c>
    </row>
    <row r="15" spans="1:19">
      <c r="A15" s="112"/>
      <c r="B15" s="109"/>
      <c r="C15" s="115"/>
      <c r="D15" s="116"/>
      <c r="E15" s="108">
        <v>2024</v>
      </c>
      <c r="F15" s="121">
        <f>F9/F12*200000</f>
        <v>0.419419266920938</v>
      </c>
      <c r="G15" s="121">
        <f t="shared" ref="G15:S15" si="3">G9/G12*200000</f>
        <v>0.276290796062856</v>
      </c>
      <c r="H15" s="121">
        <f t="shared" si="3"/>
        <v>0.170566548975748</v>
      </c>
      <c r="I15" s="121">
        <f t="shared" si="3"/>
        <v>0.310842094547286</v>
      </c>
      <c r="J15" s="121">
        <f t="shared" si="3"/>
        <v>0.467071461933676</v>
      </c>
      <c r="K15" s="121">
        <f t="shared" si="3"/>
        <v>0.464038917397206</v>
      </c>
      <c r="L15" s="121">
        <f t="shared" si="3"/>
        <v>0.52115546297382</v>
      </c>
      <c r="M15" s="121">
        <f t="shared" si="3"/>
        <v>0.387892097369868</v>
      </c>
      <c r="N15" s="121">
        <f t="shared" si="3"/>
        <v>0.563165905631659</v>
      </c>
      <c r="O15" s="121">
        <f t="shared" si="3"/>
        <v>0.410804461640753</v>
      </c>
      <c r="P15" s="121">
        <f t="shared" si="3"/>
        <v>0.469446619086871</v>
      </c>
      <c r="Q15" s="121">
        <f t="shared" si="3"/>
        <v>0.476147796275964</v>
      </c>
      <c r="R15" s="121">
        <f t="shared" si="3"/>
        <v>0.415351387273633</v>
      </c>
      <c r="S15" s="121">
        <f t="shared" si="3"/>
        <v>0.419419266920938</v>
      </c>
    </row>
    <row r="16" spans="1:19">
      <c r="A16" s="112"/>
      <c r="B16" s="111"/>
      <c r="C16" s="122"/>
      <c r="D16" s="123"/>
      <c r="E16" s="108">
        <v>2025</v>
      </c>
      <c r="F16" s="121">
        <f>F10/F13*200000</f>
        <v>0.3887259482674</v>
      </c>
      <c r="G16" s="121">
        <f t="shared" ref="G16:S16" si="4">G10/G13*200000</f>
        <v>0.366049872631283</v>
      </c>
      <c r="H16" s="121">
        <f t="shared" si="4"/>
        <v>0.564155122143858</v>
      </c>
      <c r="I16" s="121">
        <f t="shared" si="4"/>
        <v>0.413549006270259</v>
      </c>
      <c r="J16" s="121">
        <f t="shared" si="4"/>
        <v>0.268139447409289</v>
      </c>
      <c r="K16" s="121">
        <f t="shared" si="4"/>
        <v>0.351763637348575</v>
      </c>
      <c r="L16" s="121">
        <f t="shared" si="4"/>
        <v>0.385322907732289</v>
      </c>
      <c r="M16" s="121">
        <f t="shared" si="4"/>
        <v>0.388117236355773</v>
      </c>
      <c r="N16" s="121">
        <f t="shared" si="4"/>
        <v>0.371682987450193</v>
      </c>
      <c r="O16" s="121">
        <f t="shared" si="4"/>
        <v>0.491186276255441</v>
      </c>
      <c r="P16" s="121">
        <f t="shared" si="4"/>
        <v>0.327698019720867</v>
      </c>
      <c r="Q16" s="121">
        <f t="shared" si="4"/>
        <v>0.374391130286822</v>
      </c>
      <c r="R16" s="121">
        <f t="shared" si="4"/>
        <v>0.386011707735096</v>
      </c>
      <c r="S16" s="121">
        <f t="shared" si="4"/>
        <v>0.3887259482674</v>
      </c>
    </row>
    <row r="17" ht="44" customHeight="1" spans="3:19">
      <c r="C17" s="108" t="s">
        <v>24</v>
      </c>
      <c r="D17" s="108"/>
      <c r="E17" s="108"/>
      <c r="F17" s="108"/>
      <c r="G17" s="108"/>
      <c r="H17" s="108"/>
      <c r="I17" s="108"/>
      <c r="J17" s="108"/>
      <c r="K17" s="108"/>
      <c r="L17" s="108"/>
      <c r="M17" s="108"/>
      <c r="N17" s="108"/>
      <c r="O17" s="108"/>
      <c r="P17" s="108"/>
      <c r="Q17" s="108"/>
      <c r="R17" s="108"/>
      <c r="S17" s="108"/>
    </row>
    <row r="20" spans="3:19">
      <c r="G20" s="124"/>
      <c r="H20" s="124"/>
      <c r="I20" s="124"/>
    </row>
  </sheetData>
  <mergeCells count="12">
    <mergeCell ref="C17:S17"/>
    <mergeCell ref="A1:A5"/>
    <mergeCell ref="A7:A16"/>
    <mergeCell ref="B2:B3"/>
    <mergeCell ref="B4:B5"/>
    <mergeCell ref="B8:B10"/>
    <mergeCell ref="B11:B13"/>
    <mergeCell ref="B14:B16"/>
    <mergeCell ref="C7:C16"/>
    <mergeCell ref="D8:D10"/>
    <mergeCell ref="D11:D13"/>
    <mergeCell ref="D14:D16"/>
  </mergeCell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62"/>
  <sheetViews>
    <sheetView tabSelected="1" topLeftCell="A441" workbookViewId="0">
      <selection activeCell="H461" sqref="H461"/>
    </sheetView>
  </sheetViews>
  <sheetFormatPr defaultColWidth="9" defaultRowHeight="16.8"/>
  <cols>
    <col min="1" max="1" width="8.88461538461539" style="9"/>
    <col min="2" max="2" width="9.45192307692308" style="9" customWidth="1"/>
    <col min="3" max="3" width="20.5576923076923" style="10" customWidth="1"/>
    <col min="4" max="4" width="9" style="10" customWidth="1"/>
    <col min="5" max="5" width="9.88461538461538" style="10" customWidth="1"/>
    <col min="6" max="6" width="11.2211538461538" style="10" customWidth="1"/>
    <col min="7" max="7" width="8.97115384615385" style="9" customWidth="1"/>
    <col min="8" max="8" width="38.7788461538462" style="10" customWidth="1"/>
    <col min="9" max="9" width="21.3365384615385" style="11" customWidth="1"/>
    <col min="10" max="10" width="22.4615384615385" style="9" customWidth="1"/>
    <col min="11" max="11" width="21.4615384615385" style="9" customWidth="1"/>
    <col min="12" max="14" width="9" style="12"/>
    <col min="17" max="17" width="11.2211538461538" style="8" customWidth="1"/>
  </cols>
  <sheetData>
    <row r="1" ht="28" spans="1:19">
      <c r="A1" s="13" t="s">
        <v>25</v>
      </c>
      <c r="B1" s="14" t="s">
        <v>26</v>
      </c>
      <c r="C1" s="15" t="s">
        <v>27</v>
      </c>
      <c r="D1" s="15" t="s">
        <v>28</v>
      </c>
      <c r="E1" s="15" t="s">
        <v>29</v>
      </c>
      <c r="F1" s="16" t="s">
        <v>30</v>
      </c>
      <c r="G1" s="17" t="s">
        <v>31</v>
      </c>
      <c r="H1" s="18" t="s">
        <v>32</v>
      </c>
      <c r="I1" s="18" t="s">
        <v>33</v>
      </c>
      <c r="J1" s="19" t="s">
        <v>34</v>
      </c>
      <c r="K1" s="19" t="s">
        <v>35</v>
      </c>
      <c r="L1" s="19" t="s">
        <v>36</v>
      </c>
      <c r="M1" s="19" t="s">
        <v>37</v>
      </c>
      <c r="N1" s="19" t="s">
        <v>38</v>
      </c>
      <c r="O1" s="19" t="s">
        <v>39</v>
      </c>
      <c r="P1" s="19" t="s">
        <v>40</v>
      </c>
      <c r="Q1" s="19" t="s">
        <v>41</v>
      </c>
      <c r="R1" s="19" t="s">
        <v>42</v>
      </c>
      <c r="S1" s="19" t="s">
        <v>43</v>
      </c>
    </row>
    <row r="2" ht="29" customHeight="1" spans="1:19">
      <c r="A2" s="20">
        <v>1</v>
      </c>
      <c r="B2" s="21" t="s">
        <v>44</v>
      </c>
      <c r="C2" s="22" t="s">
        <v>45</v>
      </c>
      <c r="D2" s="22" t="s">
        <v>46</v>
      </c>
      <c r="E2" s="22" t="e">
        <f>VLOOKUP(C2,#REF!,3,0)</f>
        <v>#REF!</v>
      </c>
      <c r="F2" s="23">
        <v>45658</v>
      </c>
      <c r="G2" s="24">
        <f t="shared" ref="G2:G20" si="0">MONTH(F2)</f>
        <v>1</v>
      </c>
      <c r="H2" s="22" t="s">
        <v>47</v>
      </c>
      <c r="I2" s="25" t="s">
        <v>48</v>
      </c>
      <c r="J2" s="26" t="s">
        <v>49</v>
      </c>
      <c r="K2" s="24"/>
      <c r="L2" s="27" t="s">
        <v>50</v>
      </c>
      <c r="M2" s="27" t="s">
        <v>51</v>
      </c>
      <c r="N2" s="27"/>
      <c r="O2" s="28" t="s">
        <v>52</v>
      </c>
      <c r="P2" s="28" t="s">
        <v>53</v>
      </c>
      <c r="Q2" s="29"/>
      <c r="R2" s="28"/>
      <c r="S2" s="28"/>
    </row>
    <row r="3" ht="29" customHeight="1" spans="1:19">
      <c r="A3" s="20">
        <v>2</v>
      </c>
      <c r="B3" s="21" t="s">
        <v>54</v>
      </c>
      <c r="C3" s="22" t="s">
        <v>55</v>
      </c>
      <c r="D3" s="22" t="s">
        <v>56</v>
      </c>
      <c r="E3" s="22" t="e">
        <f>VLOOKUP(C3,#REF!,3,0)</f>
        <v>#REF!</v>
      </c>
      <c r="F3" s="23">
        <v>45659</v>
      </c>
      <c r="G3" s="24">
        <f t="shared" si="0"/>
        <v>1</v>
      </c>
      <c r="H3" s="22" t="s">
        <v>57</v>
      </c>
      <c r="I3" s="25" t="s">
        <v>58</v>
      </c>
      <c r="J3" s="26" t="s">
        <v>59</v>
      </c>
      <c r="K3" s="24"/>
      <c r="L3" s="27" t="s">
        <v>50</v>
      </c>
      <c r="M3" s="27" t="s">
        <v>60</v>
      </c>
      <c r="N3" s="27"/>
      <c r="O3" s="28"/>
      <c r="P3" s="28"/>
      <c r="Q3" s="29"/>
      <c r="R3" s="28"/>
      <c r="S3" s="28"/>
    </row>
    <row r="4" ht="29" customHeight="1" spans="1:19">
      <c r="A4" s="20">
        <v>3</v>
      </c>
      <c r="B4" s="21" t="s">
        <v>61</v>
      </c>
      <c r="C4" s="22" t="s">
        <v>62</v>
      </c>
      <c r="D4" s="22" t="s">
        <v>63</v>
      </c>
      <c r="E4" s="22" t="e">
        <f>VLOOKUP(C4,#REF!,3,0)</f>
        <v>#REF!</v>
      </c>
      <c r="F4" s="23">
        <v>45659</v>
      </c>
      <c r="G4" s="24">
        <f t="shared" si="0"/>
        <v>1</v>
      </c>
      <c r="H4" s="22" t="s">
        <v>64</v>
      </c>
      <c r="I4" s="25" t="s">
        <v>65</v>
      </c>
      <c r="J4" s="26" t="s">
        <v>66</v>
      </c>
      <c r="K4" s="24"/>
      <c r="L4" s="27" t="s">
        <v>50</v>
      </c>
      <c r="M4" s="27" t="s">
        <v>51</v>
      </c>
      <c r="N4" s="27"/>
      <c r="O4" s="28"/>
      <c r="P4" s="28"/>
      <c r="Q4" s="29"/>
      <c r="R4" s="28"/>
      <c r="S4" s="28"/>
    </row>
    <row r="5" ht="29" customHeight="1" spans="1:19">
      <c r="A5" s="20">
        <v>4</v>
      </c>
      <c r="B5" s="21" t="s">
        <v>67</v>
      </c>
      <c r="C5" s="22" t="s">
        <v>68</v>
      </c>
      <c r="D5" s="22" t="s">
        <v>69</v>
      </c>
      <c r="E5" s="22" t="e">
        <f>VLOOKUP(C5,#REF!,3,0)</f>
        <v>#REF!</v>
      </c>
      <c r="F5" s="23">
        <v>45660</v>
      </c>
      <c r="G5" s="24">
        <f t="shared" si="0"/>
        <v>1</v>
      </c>
      <c r="H5" s="22" t="s">
        <v>70</v>
      </c>
      <c r="I5" s="25" t="s">
        <v>71</v>
      </c>
      <c r="J5" s="26" t="s">
        <v>66</v>
      </c>
      <c r="K5" s="24"/>
      <c r="L5" s="27" t="s">
        <v>50</v>
      </c>
      <c r="M5" s="27" t="s">
        <v>51</v>
      </c>
      <c r="N5" s="27"/>
      <c r="O5" s="28"/>
      <c r="P5" s="28"/>
      <c r="Q5" s="29"/>
      <c r="R5" s="28"/>
      <c r="S5" s="28"/>
    </row>
    <row r="6" ht="29" customHeight="1" spans="1:19">
      <c r="A6" s="20">
        <v>5</v>
      </c>
      <c r="B6" s="21" t="s">
        <v>72</v>
      </c>
      <c r="C6" s="22" t="s">
        <v>73</v>
      </c>
      <c r="D6" s="22" t="s">
        <v>74</v>
      </c>
      <c r="E6" s="22" t="e">
        <f>VLOOKUP(C6,#REF!,3,0)</f>
        <v>#REF!</v>
      </c>
      <c r="F6" s="23">
        <v>45661</v>
      </c>
      <c r="G6" s="24">
        <f t="shared" si="0"/>
        <v>1</v>
      </c>
      <c r="H6" s="22" t="s">
        <v>75</v>
      </c>
      <c r="I6" s="25" t="s">
        <v>76</v>
      </c>
      <c r="J6" s="26" t="s">
        <v>77</v>
      </c>
      <c r="K6" s="24"/>
      <c r="L6" s="27" t="s">
        <v>50</v>
      </c>
      <c r="M6" s="27" t="s">
        <v>51</v>
      </c>
      <c r="N6" s="27"/>
      <c r="O6" s="28"/>
      <c r="P6" s="28"/>
      <c r="Q6" s="29"/>
      <c r="R6" s="28"/>
      <c r="S6" s="28"/>
    </row>
    <row r="7" ht="29" customHeight="1" spans="1:19">
      <c r="A7" s="20">
        <v>6</v>
      </c>
      <c r="B7" s="21" t="s">
        <v>78</v>
      </c>
      <c r="C7" s="22" t="s">
        <v>79</v>
      </c>
      <c r="D7" s="22" t="s">
        <v>80</v>
      </c>
      <c r="E7" s="22" t="e">
        <f>VLOOKUP(C7,#REF!,3,0)</f>
        <v>#REF!</v>
      </c>
      <c r="F7" s="23">
        <v>45664</v>
      </c>
      <c r="G7" s="24">
        <f t="shared" si="0"/>
        <v>1</v>
      </c>
      <c r="H7" s="22" t="s">
        <v>81</v>
      </c>
      <c r="I7" s="25" t="s">
        <v>82</v>
      </c>
      <c r="J7" s="26" t="s">
        <v>59</v>
      </c>
      <c r="K7" s="24"/>
      <c r="L7" s="27" t="s">
        <v>50</v>
      </c>
      <c r="M7" s="27" t="s">
        <v>83</v>
      </c>
      <c r="N7" s="27"/>
      <c r="O7" s="28"/>
      <c r="P7" s="28"/>
      <c r="Q7" s="29"/>
      <c r="R7" s="28"/>
      <c r="S7" s="28"/>
    </row>
    <row r="8" ht="29" customHeight="1" spans="1:19">
      <c r="A8" s="20">
        <v>7</v>
      </c>
      <c r="B8" s="21" t="s">
        <v>84</v>
      </c>
      <c r="C8" s="22" t="s">
        <v>85</v>
      </c>
      <c r="D8" s="22" t="s">
        <v>63</v>
      </c>
      <c r="E8" s="22" t="e">
        <f>VLOOKUP(C8,#REF!,3,0)</f>
        <v>#REF!</v>
      </c>
      <c r="F8" s="23">
        <v>45665</v>
      </c>
      <c r="G8" s="24">
        <f t="shared" si="0"/>
        <v>1</v>
      </c>
      <c r="H8" s="22" t="s">
        <v>86</v>
      </c>
      <c r="I8" s="25" t="s">
        <v>87</v>
      </c>
      <c r="J8" s="26" t="s">
        <v>66</v>
      </c>
      <c r="K8" s="24"/>
      <c r="L8" s="27" t="s">
        <v>50</v>
      </c>
      <c r="M8" s="27" t="s">
        <v>51</v>
      </c>
      <c r="N8" s="27"/>
      <c r="O8" s="28"/>
      <c r="P8" s="28"/>
      <c r="Q8" s="29"/>
      <c r="R8" s="28"/>
      <c r="S8" s="28"/>
    </row>
    <row r="9" ht="29" customHeight="1" spans="1:19">
      <c r="A9" s="20">
        <v>8</v>
      </c>
      <c r="B9" s="21" t="s">
        <v>88</v>
      </c>
      <c r="C9" s="22" t="s">
        <v>89</v>
      </c>
      <c r="D9" s="22" t="s">
        <v>90</v>
      </c>
      <c r="E9" s="22" t="e">
        <f>VLOOKUP(C9,#REF!,3,0)</f>
        <v>#REF!</v>
      </c>
      <c r="F9" s="23">
        <v>45666</v>
      </c>
      <c r="G9" s="24">
        <f t="shared" si="0"/>
        <v>1</v>
      </c>
      <c r="H9" s="22" t="s">
        <v>91</v>
      </c>
      <c r="I9" s="25" t="s">
        <v>92</v>
      </c>
      <c r="J9" s="26" t="s">
        <v>66</v>
      </c>
      <c r="K9" s="24"/>
      <c r="L9" s="27" t="s">
        <v>50</v>
      </c>
      <c r="M9" s="27" t="s">
        <v>51</v>
      </c>
      <c r="N9" s="27"/>
      <c r="O9" s="28"/>
      <c r="P9" s="28"/>
      <c r="Q9" s="29"/>
      <c r="R9" s="28"/>
      <c r="S9" s="28"/>
    </row>
    <row r="10" ht="29" customHeight="1" spans="1:19">
      <c r="A10" s="20">
        <v>9</v>
      </c>
      <c r="B10" s="21" t="s">
        <v>93</v>
      </c>
      <c r="C10" s="22" t="s">
        <v>94</v>
      </c>
      <c r="D10" s="22" t="s">
        <v>95</v>
      </c>
      <c r="E10" s="22" t="e">
        <f>VLOOKUP(C10,#REF!,3,0)</f>
        <v>#REF!</v>
      </c>
      <c r="F10" s="23">
        <v>45666</v>
      </c>
      <c r="G10" s="24">
        <f t="shared" si="0"/>
        <v>1</v>
      </c>
      <c r="H10" s="22" t="s">
        <v>96</v>
      </c>
      <c r="I10" s="25" t="s">
        <v>97</v>
      </c>
      <c r="J10" s="26" t="s">
        <v>66</v>
      </c>
      <c r="K10" s="24"/>
      <c r="L10" s="27" t="s">
        <v>50</v>
      </c>
      <c r="M10" s="27" t="s">
        <v>51</v>
      </c>
      <c r="N10" s="27"/>
      <c r="O10" s="28"/>
      <c r="P10" s="28"/>
      <c r="Q10" s="29"/>
      <c r="R10" s="28"/>
      <c r="S10" s="28"/>
    </row>
    <row r="11" ht="29" customHeight="1" spans="1:19">
      <c r="A11" s="20">
        <v>10</v>
      </c>
      <c r="B11" s="21" t="s">
        <v>98</v>
      </c>
      <c r="C11" s="22" t="s">
        <v>68</v>
      </c>
      <c r="D11" s="22" t="s">
        <v>69</v>
      </c>
      <c r="E11" s="22" t="e">
        <f>VLOOKUP(C11,#REF!,3,0)</f>
        <v>#REF!</v>
      </c>
      <c r="F11" s="23">
        <v>45666</v>
      </c>
      <c r="G11" s="24">
        <f t="shared" si="0"/>
        <v>1</v>
      </c>
      <c r="H11" s="22" t="s">
        <v>99</v>
      </c>
      <c r="I11" s="25" t="s">
        <v>100</v>
      </c>
      <c r="J11" s="26" t="s">
        <v>59</v>
      </c>
      <c r="K11" s="24"/>
      <c r="L11" s="27" t="s">
        <v>50</v>
      </c>
      <c r="M11" s="27" t="s">
        <v>60</v>
      </c>
      <c r="N11" s="27"/>
      <c r="O11" s="28"/>
      <c r="P11" s="28"/>
      <c r="Q11" s="29"/>
      <c r="R11" s="28"/>
      <c r="S11" s="28"/>
    </row>
    <row r="12" ht="29" customHeight="1" spans="1:19">
      <c r="A12" s="20">
        <v>11</v>
      </c>
      <c r="B12" s="21" t="s">
        <v>101</v>
      </c>
      <c r="C12" s="22" t="s">
        <v>102</v>
      </c>
      <c r="D12" s="22" t="s">
        <v>103</v>
      </c>
      <c r="E12" s="22" t="e">
        <f>VLOOKUP(C12,#REF!,3,0)</f>
        <v>#REF!</v>
      </c>
      <c r="F12" s="23">
        <v>45667</v>
      </c>
      <c r="G12" s="24">
        <f t="shared" si="0"/>
        <v>1</v>
      </c>
      <c r="H12" s="22" t="s">
        <v>104</v>
      </c>
      <c r="I12" s="25" t="s">
        <v>105</v>
      </c>
      <c r="J12" s="26" t="s">
        <v>106</v>
      </c>
      <c r="K12" s="24"/>
      <c r="L12" s="27" t="s">
        <v>107</v>
      </c>
      <c r="M12" s="27" t="s">
        <v>108</v>
      </c>
      <c r="N12" s="27"/>
      <c r="O12" s="28"/>
      <c r="P12" s="28"/>
      <c r="Q12" s="29"/>
      <c r="R12" s="28"/>
      <c r="S12" s="28"/>
    </row>
    <row r="13" ht="29" customHeight="1" spans="1:19">
      <c r="A13" s="20">
        <v>12</v>
      </c>
      <c r="B13" s="21" t="s">
        <v>109</v>
      </c>
      <c r="C13" s="22" t="s">
        <v>110</v>
      </c>
      <c r="D13" s="22" t="s">
        <v>80</v>
      </c>
      <c r="E13" s="22" t="e">
        <f>VLOOKUP(C13,#REF!,3,0)</f>
        <v>#REF!</v>
      </c>
      <c r="F13" s="23">
        <v>45669</v>
      </c>
      <c r="G13" s="24">
        <f t="shared" si="0"/>
        <v>1</v>
      </c>
      <c r="H13" s="22" t="s">
        <v>111</v>
      </c>
      <c r="I13" s="25" t="s">
        <v>112</v>
      </c>
      <c r="J13" s="26" t="s">
        <v>59</v>
      </c>
      <c r="K13" s="24"/>
      <c r="L13" s="27" t="s">
        <v>50</v>
      </c>
      <c r="M13" s="27" t="s">
        <v>60</v>
      </c>
      <c r="N13" s="27"/>
      <c r="O13" s="28"/>
      <c r="P13" s="28"/>
      <c r="Q13" s="29"/>
      <c r="R13" s="28"/>
      <c r="S13" s="28"/>
    </row>
    <row r="14" ht="29" customHeight="1" spans="1:19">
      <c r="A14" s="20">
        <v>13</v>
      </c>
      <c r="B14" s="21" t="s">
        <v>113</v>
      </c>
      <c r="C14" s="22" t="s">
        <v>114</v>
      </c>
      <c r="D14" s="22" t="s">
        <v>115</v>
      </c>
      <c r="E14" s="22" t="e">
        <f>VLOOKUP(C14,#REF!,3,0)</f>
        <v>#REF!</v>
      </c>
      <c r="F14" s="23">
        <v>45669</v>
      </c>
      <c r="G14" s="24">
        <f t="shared" si="0"/>
        <v>1</v>
      </c>
      <c r="H14" s="22" t="s">
        <v>116</v>
      </c>
      <c r="I14" s="25" t="s">
        <v>117</v>
      </c>
      <c r="J14" s="26" t="s">
        <v>59</v>
      </c>
      <c r="K14" s="24"/>
      <c r="L14" s="27" t="s">
        <v>50</v>
      </c>
      <c r="M14" s="27" t="s">
        <v>60</v>
      </c>
      <c r="N14" s="27"/>
      <c r="O14" s="28"/>
      <c r="P14" s="28"/>
      <c r="Q14" s="29"/>
      <c r="R14" s="28"/>
      <c r="S14" s="28"/>
    </row>
    <row r="15" ht="29" customHeight="1" spans="1:19">
      <c r="A15" s="20">
        <v>14</v>
      </c>
      <c r="B15" s="30" t="s">
        <v>118</v>
      </c>
      <c r="C15" s="22" t="s">
        <v>119</v>
      </c>
      <c r="D15" s="22" t="s">
        <v>69</v>
      </c>
      <c r="E15" s="22" t="e">
        <f>VLOOKUP(C15,#REF!,3,0)</f>
        <v>#REF!</v>
      </c>
      <c r="F15" s="23">
        <v>45670</v>
      </c>
      <c r="G15" s="24">
        <f t="shared" si="0"/>
        <v>1</v>
      </c>
      <c r="H15" s="22" t="s">
        <v>120</v>
      </c>
      <c r="I15" s="25" t="s">
        <v>121</v>
      </c>
      <c r="J15" s="26" t="s">
        <v>59</v>
      </c>
      <c r="K15" s="24"/>
      <c r="L15" s="27" t="s">
        <v>50</v>
      </c>
      <c r="M15" s="27" t="s">
        <v>60</v>
      </c>
      <c r="N15" s="27"/>
      <c r="O15" s="28"/>
      <c r="P15" s="28"/>
      <c r="Q15" s="29"/>
      <c r="R15" s="28"/>
      <c r="S15" s="28"/>
    </row>
    <row r="16" ht="29" customHeight="1" spans="1:19">
      <c r="A16" s="20">
        <v>15</v>
      </c>
      <c r="B16" s="21" t="s">
        <v>122</v>
      </c>
      <c r="C16" s="22" t="s">
        <v>123</v>
      </c>
      <c r="D16" s="22" t="s">
        <v>124</v>
      </c>
      <c r="E16" s="22" t="e">
        <f>VLOOKUP(C16,#REF!,3,0)</f>
        <v>#REF!</v>
      </c>
      <c r="F16" s="23">
        <v>45671</v>
      </c>
      <c r="G16" s="24">
        <f t="shared" si="0"/>
        <v>1</v>
      </c>
      <c r="H16" s="22" t="s">
        <v>125</v>
      </c>
      <c r="I16" s="25" t="s">
        <v>126</v>
      </c>
      <c r="J16" s="26" t="s">
        <v>127</v>
      </c>
      <c r="K16" s="24"/>
      <c r="L16" s="27" t="s">
        <v>50</v>
      </c>
      <c r="M16" s="27" t="s">
        <v>51</v>
      </c>
      <c r="N16" s="27"/>
      <c r="O16" s="28"/>
      <c r="P16" s="28"/>
      <c r="Q16" s="29"/>
      <c r="R16" s="28"/>
      <c r="S16" s="28"/>
    </row>
    <row r="17" ht="29" customHeight="1" spans="1:19">
      <c r="A17" s="20">
        <v>16</v>
      </c>
      <c r="B17" s="21" t="s">
        <v>128</v>
      </c>
      <c r="C17" s="22" t="s">
        <v>129</v>
      </c>
      <c r="D17" s="22" t="s">
        <v>103</v>
      </c>
      <c r="E17" s="22" t="e">
        <f>VLOOKUP(C17,#REF!,3,0)</f>
        <v>#REF!</v>
      </c>
      <c r="F17" s="23">
        <v>45674</v>
      </c>
      <c r="G17" s="24">
        <f t="shared" si="0"/>
        <v>1</v>
      </c>
      <c r="H17" s="22" t="s">
        <v>130</v>
      </c>
      <c r="I17" s="25" t="s">
        <v>131</v>
      </c>
      <c r="J17" s="26" t="s">
        <v>127</v>
      </c>
      <c r="K17" s="24"/>
      <c r="L17" s="27" t="s">
        <v>107</v>
      </c>
      <c r="M17" s="27" t="s">
        <v>108</v>
      </c>
      <c r="N17" s="27"/>
      <c r="O17" s="28"/>
      <c r="P17" s="28"/>
      <c r="Q17" s="29"/>
      <c r="R17" s="28"/>
      <c r="S17" s="28"/>
    </row>
    <row r="18" ht="29" customHeight="1" spans="1:19">
      <c r="A18" s="20">
        <v>17</v>
      </c>
      <c r="B18" s="21" t="s">
        <v>132</v>
      </c>
      <c r="C18" s="22" t="s">
        <v>133</v>
      </c>
      <c r="D18" s="22" t="s">
        <v>103</v>
      </c>
      <c r="E18" s="22" t="e">
        <f>VLOOKUP(C18,#REF!,3,0)</f>
        <v>#REF!</v>
      </c>
      <c r="F18" s="23">
        <v>45674</v>
      </c>
      <c r="G18" s="24">
        <f t="shared" si="0"/>
        <v>1</v>
      </c>
      <c r="H18" s="22" t="s">
        <v>134</v>
      </c>
      <c r="I18" s="25" t="s">
        <v>135</v>
      </c>
      <c r="J18" s="26" t="s">
        <v>127</v>
      </c>
      <c r="K18" s="24"/>
      <c r="L18" s="27" t="s">
        <v>107</v>
      </c>
      <c r="M18" s="27" t="s">
        <v>108</v>
      </c>
      <c r="N18" s="27"/>
      <c r="O18" s="28"/>
      <c r="P18" s="28"/>
      <c r="Q18" s="29"/>
      <c r="R18" s="28"/>
      <c r="S18" s="28"/>
    </row>
    <row r="19" ht="29" customHeight="1" spans="1:19">
      <c r="A19" s="20">
        <v>18</v>
      </c>
      <c r="B19" s="21" t="s">
        <v>136</v>
      </c>
      <c r="C19" s="22" t="s">
        <v>94</v>
      </c>
      <c r="D19" s="22" t="s">
        <v>95</v>
      </c>
      <c r="E19" s="22" t="e">
        <f>VLOOKUP(C19,#REF!,3,0)</f>
        <v>#REF!</v>
      </c>
      <c r="F19" s="23">
        <v>45675</v>
      </c>
      <c r="G19" s="24">
        <f t="shared" si="0"/>
        <v>1</v>
      </c>
      <c r="H19" s="22" t="s">
        <v>137</v>
      </c>
      <c r="I19" s="25" t="s">
        <v>138</v>
      </c>
      <c r="J19" s="26" t="s">
        <v>127</v>
      </c>
      <c r="K19" s="24"/>
      <c r="L19" s="27" t="s">
        <v>107</v>
      </c>
      <c r="M19" s="27" t="s">
        <v>108</v>
      </c>
      <c r="N19" s="27"/>
      <c r="O19" s="28"/>
      <c r="P19" s="28"/>
      <c r="Q19" s="29"/>
      <c r="R19" s="28"/>
      <c r="S19" s="28"/>
    </row>
    <row r="20" ht="29" customHeight="1" spans="1:19">
      <c r="A20" s="20">
        <v>19</v>
      </c>
      <c r="B20" s="21" t="s">
        <v>139</v>
      </c>
      <c r="C20" s="22" t="s">
        <v>140</v>
      </c>
      <c r="D20" s="22" t="s">
        <v>124</v>
      </c>
      <c r="E20" s="22" t="e">
        <f>VLOOKUP(C20,#REF!,3,0)</f>
        <v>#REF!</v>
      </c>
      <c r="F20" s="23">
        <v>45675</v>
      </c>
      <c r="G20" s="24">
        <f t="shared" si="0"/>
        <v>1</v>
      </c>
      <c r="H20" s="22" t="s">
        <v>141</v>
      </c>
      <c r="I20" s="25" t="s">
        <v>142</v>
      </c>
      <c r="J20" s="26" t="s">
        <v>127</v>
      </c>
      <c r="K20" s="24"/>
      <c r="L20" s="27" t="s">
        <v>50</v>
      </c>
      <c r="M20" s="27" t="s">
        <v>60</v>
      </c>
      <c r="N20" s="27"/>
      <c r="O20" s="28"/>
      <c r="P20" s="28"/>
      <c r="Q20" s="29"/>
      <c r="R20" s="28"/>
      <c r="S20" s="28"/>
    </row>
    <row r="21" ht="29" customHeight="1" spans="1:19">
      <c r="A21" s="20">
        <v>20</v>
      </c>
      <c r="B21" s="21" t="s">
        <v>143</v>
      </c>
      <c r="C21" s="22" t="s">
        <v>123</v>
      </c>
      <c r="D21" s="22" t="s">
        <v>124</v>
      </c>
      <c r="E21" s="22" t="e">
        <f>VLOOKUP(C21,#REF!,3,0)</f>
        <v>#REF!</v>
      </c>
      <c r="F21" s="23">
        <v>45681</v>
      </c>
      <c r="G21" s="24">
        <f t="shared" ref="G21:G50" si="1">MONTH(F21)</f>
        <v>1</v>
      </c>
      <c r="H21" s="22" t="s">
        <v>144</v>
      </c>
      <c r="I21" s="25" t="s">
        <v>145</v>
      </c>
      <c r="J21" s="26" t="s">
        <v>106</v>
      </c>
      <c r="K21" s="24"/>
      <c r="L21" s="27" t="s">
        <v>107</v>
      </c>
      <c r="M21" s="27" t="s">
        <v>108</v>
      </c>
      <c r="N21" s="27"/>
      <c r="O21" s="28"/>
      <c r="P21" s="28"/>
      <c r="Q21" s="29"/>
      <c r="R21" s="28"/>
      <c r="S21" s="28"/>
    </row>
    <row r="22" ht="29" customHeight="1" spans="1:19">
      <c r="A22" s="20">
        <v>21</v>
      </c>
      <c r="B22" s="21" t="s">
        <v>146</v>
      </c>
      <c r="C22" s="22" t="s">
        <v>110</v>
      </c>
      <c r="D22" s="22" t="s">
        <v>80</v>
      </c>
      <c r="E22" s="22" t="e">
        <f>VLOOKUP(C22,#REF!,3,0)</f>
        <v>#REF!</v>
      </c>
      <c r="F22" s="23">
        <v>45682</v>
      </c>
      <c r="G22" s="24">
        <f t="shared" si="1"/>
        <v>1</v>
      </c>
      <c r="H22" s="22" t="s">
        <v>147</v>
      </c>
      <c r="I22" s="25" t="s">
        <v>148</v>
      </c>
      <c r="J22" s="26" t="s">
        <v>59</v>
      </c>
      <c r="K22" s="24"/>
      <c r="L22" s="27" t="s">
        <v>50</v>
      </c>
      <c r="M22" s="27" t="s">
        <v>60</v>
      </c>
      <c r="N22" s="27"/>
      <c r="O22" s="28"/>
      <c r="P22" s="28"/>
      <c r="Q22" s="29"/>
      <c r="R22" s="28"/>
      <c r="S22" s="28"/>
    </row>
    <row r="23" ht="29" customHeight="1" spans="1:19">
      <c r="A23" s="20">
        <v>22</v>
      </c>
      <c r="B23" s="21" t="s">
        <v>149</v>
      </c>
      <c r="C23" s="22" t="s">
        <v>150</v>
      </c>
      <c r="D23" s="22" t="s">
        <v>90</v>
      </c>
      <c r="E23" s="22" t="e">
        <f>VLOOKUP(C23,#REF!,3,0)</f>
        <v>#REF!</v>
      </c>
      <c r="F23" s="23">
        <v>45682</v>
      </c>
      <c r="G23" s="24">
        <f t="shared" si="1"/>
        <v>1</v>
      </c>
      <c r="H23" s="22" t="s">
        <v>151</v>
      </c>
      <c r="I23" s="25" t="s">
        <v>152</v>
      </c>
      <c r="J23" s="26" t="s">
        <v>59</v>
      </c>
      <c r="K23" s="24"/>
      <c r="L23" s="27" t="s">
        <v>50</v>
      </c>
      <c r="M23" s="27" t="s">
        <v>60</v>
      </c>
      <c r="N23" s="27"/>
      <c r="O23" s="28"/>
      <c r="P23" s="28"/>
      <c r="Q23" s="29"/>
      <c r="R23" s="28"/>
      <c r="S23" s="28"/>
    </row>
    <row r="24" ht="29" customHeight="1" spans="1:19">
      <c r="A24" s="20">
        <v>23</v>
      </c>
      <c r="B24" s="21" t="s">
        <v>153</v>
      </c>
      <c r="C24" s="22" t="s">
        <v>154</v>
      </c>
      <c r="D24" s="22" t="s">
        <v>155</v>
      </c>
      <c r="E24" s="22" t="e">
        <f>VLOOKUP(C24,#REF!,3,0)</f>
        <v>#REF!</v>
      </c>
      <c r="F24" s="23">
        <v>45690</v>
      </c>
      <c r="G24" s="24">
        <f t="shared" si="1"/>
        <v>2</v>
      </c>
      <c r="H24" s="22" t="s">
        <v>156</v>
      </c>
      <c r="I24" s="25" t="s">
        <v>157</v>
      </c>
      <c r="J24" s="26" t="s">
        <v>158</v>
      </c>
      <c r="K24" s="24"/>
      <c r="L24" s="27" t="s">
        <v>50</v>
      </c>
      <c r="M24" s="27" t="s">
        <v>60</v>
      </c>
      <c r="N24" s="27"/>
      <c r="O24" s="28"/>
      <c r="P24" s="28"/>
      <c r="Q24" s="29"/>
      <c r="R24" s="28"/>
      <c r="S24" s="28"/>
    </row>
    <row r="25" ht="29" customHeight="1" spans="1:19">
      <c r="A25" s="20">
        <v>24</v>
      </c>
      <c r="B25" s="21" t="s">
        <v>159</v>
      </c>
      <c r="C25" s="22" t="s">
        <v>160</v>
      </c>
      <c r="D25" s="22" t="s">
        <v>103</v>
      </c>
      <c r="E25" s="22" t="e">
        <f>VLOOKUP(C25,#REF!,3,0)</f>
        <v>#REF!</v>
      </c>
      <c r="F25" s="23">
        <v>45692</v>
      </c>
      <c r="G25" s="24">
        <f t="shared" si="1"/>
        <v>2</v>
      </c>
      <c r="H25" s="22" t="s">
        <v>161</v>
      </c>
      <c r="I25" s="25" t="s">
        <v>162</v>
      </c>
      <c r="J25" s="26" t="s">
        <v>59</v>
      </c>
      <c r="K25" s="24"/>
      <c r="L25" s="27" t="s">
        <v>50</v>
      </c>
      <c r="M25" s="27" t="s">
        <v>60</v>
      </c>
      <c r="N25" s="27"/>
      <c r="O25" s="28"/>
      <c r="P25" s="28"/>
      <c r="Q25" s="29"/>
      <c r="R25" s="28"/>
      <c r="S25" s="28"/>
    </row>
    <row r="26" ht="29" customHeight="1" spans="1:19">
      <c r="A26" s="20">
        <v>25</v>
      </c>
      <c r="B26" s="21" t="s">
        <v>163</v>
      </c>
      <c r="C26" s="22" t="s">
        <v>154</v>
      </c>
      <c r="D26" s="22" t="s">
        <v>155</v>
      </c>
      <c r="E26" s="22" t="e">
        <f>VLOOKUP(C26,#REF!,3,0)</f>
        <v>#REF!</v>
      </c>
      <c r="F26" s="23">
        <v>45693</v>
      </c>
      <c r="G26" s="24">
        <f t="shared" si="1"/>
        <v>2</v>
      </c>
      <c r="H26" s="22" t="s">
        <v>164</v>
      </c>
      <c r="I26" s="25" t="s">
        <v>165</v>
      </c>
      <c r="J26" s="26" t="s">
        <v>158</v>
      </c>
      <c r="K26" s="24"/>
      <c r="L26" s="27" t="s">
        <v>107</v>
      </c>
      <c r="M26" s="27" t="s">
        <v>51</v>
      </c>
      <c r="N26" s="27"/>
      <c r="O26" s="28"/>
      <c r="P26" s="28"/>
      <c r="Q26" s="29"/>
      <c r="R26" s="28"/>
      <c r="S26" s="28"/>
    </row>
    <row r="27" ht="29" customHeight="1" spans="1:19">
      <c r="A27" s="20">
        <v>26</v>
      </c>
      <c r="B27" s="21" t="s">
        <v>166</v>
      </c>
      <c r="C27" s="22" t="s">
        <v>167</v>
      </c>
      <c r="D27" s="22" t="s">
        <v>74</v>
      </c>
      <c r="E27" s="22" t="e">
        <f>VLOOKUP(C27,#REF!,3,0)</f>
        <v>#REF!</v>
      </c>
      <c r="F27" s="23">
        <v>45693</v>
      </c>
      <c r="G27" s="24">
        <f t="shared" si="1"/>
        <v>2</v>
      </c>
      <c r="H27" s="22" t="s">
        <v>168</v>
      </c>
      <c r="I27" s="25" t="s">
        <v>169</v>
      </c>
      <c r="J27" s="26" t="s">
        <v>170</v>
      </c>
      <c r="K27" s="24"/>
      <c r="L27" s="27" t="s">
        <v>107</v>
      </c>
      <c r="M27" s="27" t="s">
        <v>108</v>
      </c>
      <c r="N27" s="27"/>
      <c r="O27" s="28"/>
      <c r="P27" s="28"/>
      <c r="Q27" s="29"/>
      <c r="R27" s="28"/>
      <c r="S27" s="28"/>
    </row>
    <row r="28" ht="29" customHeight="1" spans="1:19">
      <c r="A28" s="20">
        <v>27</v>
      </c>
      <c r="B28" s="21" t="s">
        <v>171</v>
      </c>
      <c r="C28" s="22" t="s">
        <v>172</v>
      </c>
      <c r="D28" s="22" t="s">
        <v>155</v>
      </c>
      <c r="E28" s="22" t="e">
        <f>VLOOKUP(C28,#REF!,3,0)</f>
        <v>#REF!</v>
      </c>
      <c r="F28" s="23">
        <v>45694</v>
      </c>
      <c r="G28" s="24">
        <f t="shared" si="1"/>
        <v>2</v>
      </c>
      <c r="H28" s="22" t="s">
        <v>173</v>
      </c>
      <c r="I28" s="25" t="s">
        <v>174</v>
      </c>
      <c r="J28" s="26" t="s">
        <v>66</v>
      </c>
      <c r="K28" s="24"/>
      <c r="L28" s="27" t="s">
        <v>107</v>
      </c>
      <c r="M28" s="27" t="s">
        <v>108</v>
      </c>
      <c r="N28" s="27"/>
      <c r="O28" s="28"/>
      <c r="P28" s="28"/>
      <c r="Q28" s="29"/>
      <c r="R28" s="28"/>
      <c r="S28" s="28"/>
    </row>
    <row r="29" ht="29" customHeight="1" spans="1:19">
      <c r="A29" s="20">
        <v>28</v>
      </c>
      <c r="B29" s="21" t="s">
        <v>175</v>
      </c>
      <c r="C29" s="22" t="s">
        <v>172</v>
      </c>
      <c r="D29" s="22" t="s">
        <v>155</v>
      </c>
      <c r="E29" s="22" t="e">
        <f>VLOOKUP(C29,#REF!,3,0)</f>
        <v>#REF!</v>
      </c>
      <c r="F29" s="23">
        <v>45694</v>
      </c>
      <c r="G29" s="24">
        <f t="shared" si="1"/>
        <v>2</v>
      </c>
      <c r="H29" s="22" t="s">
        <v>176</v>
      </c>
      <c r="I29" s="25" t="s">
        <v>177</v>
      </c>
      <c r="J29" s="26" t="s">
        <v>59</v>
      </c>
      <c r="K29" s="24"/>
      <c r="L29" s="27" t="s">
        <v>50</v>
      </c>
      <c r="M29" s="27" t="s">
        <v>60</v>
      </c>
      <c r="N29" s="27"/>
      <c r="O29" s="28"/>
      <c r="P29" s="28"/>
      <c r="Q29" s="29"/>
      <c r="R29" s="28"/>
      <c r="S29" s="28"/>
    </row>
    <row r="30" ht="29" customHeight="1" spans="1:19">
      <c r="A30" s="20">
        <v>29</v>
      </c>
      <c r="B30" s="21" t="s">
        <v>178</v>
      </c>
      <c r="C30" s="22" t="s">
        <v>68</v>
      </c>
      <c r="D30" s="22" t="s">
        <v>69</v>
      </c>
      <c r="E30" s="22" t="e">
        <f>VLOOKUP(C30,#REF!,3,0)</f>
        <v>#REF!</v>
      </c>
      <c r="F30" s="23">
        <v>45695</v>
      </c>
      <c r="G30" s="24">
        <f t="shared" si="1"/>
        <v>2</v>
      </c>
      <c r="H30" s="22" t="s">
        <v>179</v>
      </c>
      <c r="I30" s="25" t="s">
        <v>180</v>
      </c>
      <c r="J30" s="26" t="s">
        <v>158</v>
      </c>
      <c r="K30" s="24"/>
      <c r="L30" s="27" t="s">
        <v>50</v>
      </c>
      <c r="M30" s="27" t="s">
        <v>60</v>
      </c>
      <c r="N30" s="27"/>
      <c r="O30" s="28"/>
      <c r="P30" s="28"/>
      <c r="Q30" s="29"/>
      <c r="R30" s="28"/>
      <c r="S30" s="28"/>
    </row>
    <row r="31" ht="29" customHeight="1" spans="1:19">
      <c r="A31" s="20">
        <v>30</v>
      </c>
      <c r="B31" s="21" t="s">
        <v>181</v>
      </c>
      <c r="C31" s="22" t="s">
        <v>182</v>
      </c>
      <c r="D31" s="22" t="s">
        <v>183</v>
      </c>
      <c r="E31" s="22" t="e">
        <f>VLOOKUP(C31,#REF!,3,0)</f>
        <v>#REF!</v>
      </c>
      <c r="F31" s="23">
        <v>45696</v>
      </c>
      <c r="G31" s="24">
        <f t="shared" si="1"/>
        <v>2</v>
      </c>
      <c r="H31" s="22" t="s">
        <v>184</v>
      </c>
      <c r="I31" s="25" t="s">
        <v>185</v>
      </c>
      <c r="J31" s="26" t="s">
        <v>170</v>
      </c>
      <c r="K31" s="24"/>
      <c r="L31" s="27" t="s">
        <v>50</v>
      </c>
      <c r="M31" s="27" t="s">
        <v>51</v>
      </c>
      <c r="N31" s="27"/>
      <c r="O31" s="28"/>
      <c r="P31" s="28"/>
      <c r="Q31" s="29"/>
      <c r="R31" s="28"/>
      <c r="S31" s="28"/>
    </row>
    <row r="32" ht="29" customHeight="1" spans="1:19">
      <c r="A32" s="20">
        <v>31</v>
      </c>
      <c r="B32" s="21" t="s">
        <v>186</v>
      </c>
      <c r="C32" s="22" t="s">
        <v>182</v>
      </c>
      <c r="D32" s="22" t="s">
        <v>183</v>
      </c>
      <c r="E32" s="22" t="e">
        <f>VLOOKUP(C32,#REF!,3,0)</f>
        <v>#REF!</v>
      </c>
      <c r="F32" s="23">
        <v>45696</v>
      </c>
      <c r="G32" s="24">
        <f t="shared" si="1"/>
        <v>2</v>
      </c>
      <c r="H32" s="22" t="s">
        <v>187</v>
      </c>
      <c r="I32" s="25" t="s">
        <v>188</v>
      </c>
      <c r="J32" s="26" t="s">
        <v>158</v>
      </c>
      <c r="K32" s="24"/>
      <c r="L32" s="27" t="s">
        <v>50</v>
      </c>
      <c r="M32" s="27" t="s">
        <v>60</v>
      </c>
      <c r="N32" s="27"/>
      <c r="O32" s="28"/>
      <c r="P32" s="28"/>
      <c r="Q32" s="29"/>
      <c r="R32" s="28"/>
      <c r="S32" s="28"/>
    </row>
    <row r="33" ht="29" customHeight="1" spans="1:19">
      <c r="A33" s="20">
        <v>32</v>
      </c>
      <c r="B33" s="21" t="s">
        <v>189</v>
      </c>
      <c r="C33" s="22" t="s">
        <v>73</v>
      </c>
      <c r="D33" s="22" t="s">
        <v>74</v>
      </c>
      <c r="E33" s="22" t="e">
        <f>VLOOKUP(C33,#REF!,3,0)</f>
        <v>#REF!</v>
      </c>
      <c r="F33" s="23">
        <v>45697</v>
      </c>
      <c r="G33" s="24">
        <f t="shared" si="1"/>
        <v>2</v>
      </c>
      <c r="H33" s="22" t="s">
        <v>190</v>
      </c>
      <c r="I33" s="25" t="s">
        <v>191</v>
      </c>
      <c r="J33" s="26" t="s">
        <v>49</v>
      </c>
      <c r="K33" s="24"/>
      <c r="L33" s="27" t="s">
        <v>50</v>
      </c>
      <c r="M33" s="27" t="s">
        <v>51</v>
      </c>
      <c r="N33" s="27"/>
      <c r="O33" s="28"/>
      <c r="P33" s="28"/>
      <c r="Q33" s="29"/>
      <c r="R33" s="28"/>
      <c r="S33" s="28"/>
    </row>
    <row r="34" ht="29" customHeight="1" spans="1:19">
      <c r="A34" s="20">
        <v>33</v>
      </c>
      <c r="B34" s="21" t="s">
        <v>192</v>
      </c>
      <c r="C34" s="22" t="s">
        <v>193</v>
      </c>
      <c r="D34" s="22" t="s">
        <v>124</v>
      </c>
      <c r="E34" s="22" t="e">
        <f>VLOOKUP(C34,#REF!,3,0)</f>
        <v>#REF!</v>
      </c>
      <c r="F34" s="23">
        <v>45697</v>
      </c>
      <c r="G34" s="24">
        <f t="shared" si="1"/>
        <v>2</v>
      </c>
      <c r="H34" s="22" t="s">
        <v>194</v>
      </c>
      <c r="I34" s="25" t="s">
        <v>195</v>
      </c>
      <c r="J34" s="26" t="s">
        <v>158</v>
      </c>
      <c r="K34" s="24"/>
      <c r="L34" s="27" t="s">
        <v>50</v>
      </c>
      <c r="M34" s="27" t="s">
        <v>60</v>
      </c>
      <c r="N34" s="27"/>
      <c r="O34" s="28"/>
      <c r="P34" s="28"/>
      <c r="Q34" s="29"/>
      <c r="R34" s="28"/>
      <c r="S34" s="28"/>
    </row>
    <row r="35" ht="29" customHeight="1" spans="1:19">
      <c r="A35" s="20">
        <v>34</v>
      </c>
      <c r="B35" s="21" t="s">
        <v>196</v>
      </c>
      <c r="C35" s="22" t="s">
        <v>197</v>
      </c>
      <c r="D35" s="22" t="s">
        <v>103</v>
      </c>
      <c r="E35" s="22" t="e">
        <f>VLOOKUP(C35,#REF!,3,0)</f>
        <v>#REF!</v>
      </c>
      <c r="F35" s="23">
        <v>45698</v>
      </c>
      <c r="G35" s="24">
        <f t="shared" si="1"/>
        <v>2</v>
      </c>
      <c r="H35" s="22" t="s">
        <v>198</v>
      </c>
      <c r="I35" s="25" t="s">
        <v>199</v>
      </c>
      <c r="J35" s="26" t="s">
        <v>158</v>
      </c>
      <c r="K35" s="24"/>
      <c r="L35" s="27" t="s">
        <v>50</v>
      </c>
      <c r="M35" s="27" t="s">
        <v>60</v>
      </c>
      <c r="N35" s="27"/>
      <c r="O35" s="28"/>
      <c r="P35" s="28"/>
      <c r="Q35" s="29"/>
      <c r="R35" s="28"/>
      <c r="S35" s="28"/>
    </row>
    <row r="36" ht="29" customHeight="1" spans="1:19">
      <c r="A36" s="20">
        <v>35</v>
      </c>
      <c r="B36" s="21" t="s">
        <v>200</v>
      </c>
      <c r="C36" s="22" t="s">
        <v>201</v>
      </c>
      <c r="D36" s="22" t="s">
        <v>124</v>
      </c>
      <c r="E36" s="22" t="e">
        <f>VLOOKUP(C36,#REF!,3,0)</f>
        <v>#REF!</v>
      </c>
      <c r="F36" s="23">
        <v>45699</v>
      </c>
      <c r="G36" s="24">
        <f t="shared" si="1"/>
        <v>2</v>
      </c>
      <c r="H36" s="22" t="s">
        <v>202</v>
      </c>
      <c r="I36" s="25" t="s">
        <v>203</v>
      </c>
      <c r="J36" s="26" t="s">
        <v>106</v>
      </c>
      <c r="K36" s="24"/>
      <c r="L36" s="27" t="s">
        <v>107</v>
      </c>
      <c r="M36" s="27" t="s">
        <v>108</v>
      </c>
      <c r="N36" s="27"/>
      <c r="O36" s="28"/>
      <c r="P36" s="28"/>
      <c r="Q36" s="29"/>
      <c r="R36" s="28"/>
      <c r="S36" s="28"/>
    </row>
    <row r="37" ht="29" customHeight="1" spans="1:19">
      <c r="A37" s="20">
        <v>36</v>
      </c>
      <c r="B37" s="21" t="s">
        <v>204</v>
      </c>
      <c r="C37" s="22" t="s">
        <v>172</v>
      </c>
      <c r="D37" s="22" t="s">
        <v>155</v>
      </c>
      <c r="E37" s="22" t="e">
        <f>VLOOKUP(C37,#REF!,3,0)</f>
        <v>#REF!</v>
      </c>
      <c r="F37" s="23">
        <v>45701</v>
      </c>
      <c r="G37" s="24">
        <f t="shared" si="1"/>
        <v>2</v>
      </c>
      <c r="H37" s="22" t="s">
        <v>205</v>
      </c>
      <c r="I37" s="25" t="s">
        <v>206</v>
      </c>
      <c r="J37" s="26" t="s">
        <v>66</v>
      </c>
      <c r="K37" s="24"/>
      <c r="L37" s="27" t="s">
        <v>50</v>
      </c>
      <c r="M37" s="27" t="s">
        <v>51</v>
      </c>
      <c r="N37" s="27"/>
      <c r="O37" s="28"/>
      <c r="P37" s="28"/>
      <c r="Q37" s="29"/>
      <c r="R37" s="28"/>
      <c r="S37" s="28"/>
    </row>
    <row r="38" ht="29" customHeight="1" spans="1:19">
      <c r="A38" s="20">
        <v>37</v>
      </c>
      <c r="B38" s="21" t="s">
        <v>207</v>
      </c>
      <c r="C38" s="22" t="s">
        <v>68</v>
      </c>
      <c r="D38" s="22" t="s">
        <v>69</v>
      </c>
      <c r="E38" s="22" t="e">
        <f>VLOOKUP(C38,#REF!,3,0)</f>
        <v>#REF!</v>
      </c>
      <c r="F38" s="23">
        <v>45703</v>
      </c>
      <c r="G38" s="24">
        <f t="shared" si="1"/>
        <v>2</v>
      </c>
      <c r="H38" s="22" t="s">
        <v>208</v>
      </c>
      <c r="I38" s="25" t="s">
        <v>209</v>
      </c>
      <c r="J38" s="26" t="s">
        <v>158</v>
      </c>
      <c r="K38" s="24"/>
      <c r="L38" s="27" t="s">
        <v>50</v>
      </c>
      <c r="M38" s="27" t="s">
        <v>51</v>
      </c>
      <c r="N38" s="27"/>
      <c r="O38" s="28"/>
      <c r="P38" s="28"/>
      <c r="Q38" s="29"/>
      <c r="R38" s="28"/>
      <c r="S38" s="28"/>
    </row>
    <row r="39" ht="29" customHeight="1" spans="1:19">
      <c r="A39" s="20">
        <v>38</v>
      </c>
      <c r="B39" s="21" t="s">
        <v>210</v>
      </c>
      <c r="C39" s="22" t="s">
        <v>197</v>
      </c>
      <c r="D39" s="22" t="s">
        <v>103</v>
      </c>
      <c r="E39" s="22" t="e">
        <f>VLOOKUP(C39,#REF!,3,0)</f>
        <v>#REF!</v>
      </c>
      <c r="F39" s="23">
        <v>45703</v>
      </c>
      <c r="G39" s="24">
        <f t="shared" si="1"/>
        <v>2</v>
      </c>
      <c r="H39" s="22" t="s">
        <v>211</v>
      </c>
      <c r="I39" s="25" t="s">
        <v>212</v>
      </c>
      <c r="J39" s="26" t="s">
        <v>106</v>
      </c>
      <c r="K39" s="24"/>
      <c r="L39" s="27" t="s">
        <v>107</v>
      </c>
      <c r="M39" s="27" t="s">
        <v>108</v>
      </c>
      <c r="N39" s="27"/>
      <c r="O39" s="28"/>
      <c r="P39" s="28"/>
      <c r="Q39" s="29"/>
      <c r="R39" s="28"/>
      <c r="S39" s="28"/>
    </row>
    <row r="40" ht="29" customHeight="1" spans="1:19">
      <c r="A40" s="20">
        <v>39</v>
      </c>
      <c r="B40" s="21" t="s">
        <v>213</v>
      </c>
      <c r="C40" s="22" t="s">
        <v>197</v>
      </c>
      <c r="D40" s="22" t="s">
        <v>103</v>
      </c>
      <c r="E40" s="22" t="e">
        <f>VLOOKUP(C40,#REF!,3,0)</f>
        <v>#REF!</v>
      </c>
      <c r="F40" s="23">
        <v>45705</v>
      </c>
      <c r="G40" s="24">
        <f t="shared" si="1"/>
        <v>2</v>
      </c>
      <c r="H40" s="22" t="s">
        <v>214</v>
      </c>
      <c r="I40" s="25" t="s">
        <v>215</v>
      </c>
      <c r="J40" s="26" t="s">
        <v>170</v>
      </c>
      <c r="K40" s="24"/>
      <c r="L40" s="27" t="s">
        <v>107</v>
      </c>
      <c r="M40" s="27" t="s">
        <v>108</v>
      </c>
      <c r="N40" s="27"/>
      <c r="O40" s="28"/>
      <c r="P40" s="28"/>
      <c r="Q40" s="29"/>
      <c r="R40" s="28"/>
      <c r="S40" s="28"/>
    </row>
    <row r="41" ht="29" customHeight="1" spans="1:19">
      <c r="A41" s="20">
        <v>40</v>
      </c>
      <c r="B41" s="21" t="s">
        <v>216</v>
      </c>
      <c r="C41" s="22" t="s">
        <v>79</v>
      </c>
      <c r="D41" s="22" t="s">
        <v>80</v>
      </c>
      <c r="E41" s="22" t="e">
        <f>VLOOKUP(C41,#REF!,3,0)</f>
        <v>#REF!</v>
      </c>
      <c r="F41" s="23">
        <v>45705</v>
      </c>
      <c r="G41" s="24">
        <f t="shared" si="1"/>
        <v>2</v>
      </c>
      <c r="H41" s="22" t="s">
        <v>217</v>
      </c>
      <c r="I41" s="25" t="s">
        <v>218</v>
      </c>
      <c r="J41" s="26" t="s">
        <v>66</v>
      </c>
      <c r="K41" s="24"/>
      <c r="L41" s="27" t="s">
        <v>50</v>
      </c>
      <c r="M41" s="27" t="s">
        <v>51</v>
      </c>
      <c r="N41" s="27"/>
      <c r="O41" s="28"/>
      <c r="P41" s="28"/>
      <c r="Q41" s="29"/>
      <c r="R41" s="28"/>
      <c r="S41" s="28"/>
    </row>
    <row r="42" ht="29" customHeight="1" spans="1:19">
      <c r="A42" s="20">
        <v>41</v>
      </c>
      <c r="B42" s="21" t="s">
        <v>219</v>
      </c>
      <c r="C42" s="22" t="s">
        <v>167</v>
      </c>
      <c r="D42" s="22" t="s">
        <v>74</v>
      </c>
      <c r="E42" s="22" t="e">
        <f>VLOOKUP(C42,#REF!,3,0)</f>
        <v>#REF!</v>
      </c>
      <c r="F42" s="23">
        <v>45706</v>
      </c>
      <c r="G42" s="24">
        <f t="shared" si="1"/>
        <v>2</v>
      </c>
      <c r="H42" s="22" t="s">
        <v>220</v>
      </c>
      <c r="I42" s="25" t="s">
        <v>221</v>
      </c>
      <c r="J42" s="26" t="s">
        <v>158</v>
      </c>
      <c r="K42" s="24"/>
      <c r="L42" s="27" t="s">
        <v>50</v>
      </c>
      <c r="M42" s="27" t="s">
        <v>60</v>
      </c>
      <c r="N42" s="27"/>
      <c r="O42" s="28"/>
      <c r="P42" s="28"/>
      <c r="Q42" s="29"/>
      <c r="R42" s="28"/>
      <c r="S42" s="28"/>
    </row>
    <row r="43" ht="29" customHeight="1" spans="1:19">
      <c r="A43" s="20">
        <v>42</v>
      </c>
      <c r="B43" s="21" t="s">
        <v>222</v>
      </c>
      <c r="C43" s="22" t="s">
        <v>182</v>
      </c>
      <c r="D43" s="22" t="s">
        <v>183</v>
      </c>
      <c r="E43" s="22" t="e">
        <f>VLOOKUP(C43,#REF!,3,0)</f>
        <v>#REF!</v>
      </c>
      <c r="F43" s="23">
        <v>45706</v>
      </c>
      <c r="G43" s="24">
        <f t="shared" si="1"/>
        <v>2</v>
      </c>
      <c r="H43" s="22" t="s">
        <v>223</v>
      </c>
      <c r="I43" s="25" t="s">
        <v>224</v>
      </c>
      <c r="J43" s="26" t="s">
        <v>158</v>
      </c>
      <c r="K43" s="24"/>
      <c r="L43" s="27" t="s">
        <v>50</v>
      </c>
      <c r="M43" s="27" t="s">
        <v>60</v>
      </c>
      <c r="N43" s="27"/>
      <c r="O43" s="28"/>
      <c r="P43" s="28"/>
      <c r="Q43" s="29"/>
      <c r="R43" s="28"/>
      <c r="S43" s="28"/>
    </row>
    <row r="44" ht="29" customHeight="1" spans="1:19">
      <c r="A44" s="20">
        <v>43</v>
      </c>
      <c r="B44" s="21" t="s">
        <v>225</v>
      </c>
      <c r="C44" s="22" t="s">
        <v>226</v>
      </c>
      <c r="D44" s="22" t="s">
        <v>227</v>
      </c>
      <c r="E44" s="22" t="e">
        <f>VLOOKUP(C44,#REF!,3,0)</f>
        <v>#REF!</v>
      </c>
      <c r="F44" s="23">
        <v>45706</v>
      </c>
      <c r="G44" s="24">
        <f t="shared" si="1"/>
        <v>2</v>
      </c>
      <c r="H44" s="22" t="s">
        <v>228</v>
      </c>
      <c r="I44" s="25" t="s">
        <v>229</v>
      </c>
      <c r="J44" s="26" t="s">
        <v>66</v>
      </c>
      <c r="K44" s="26"/>
      <c r="L44" s="27" t="s">
        <v>50</v>
      </c>
      <c r="M44" s="27" t="s">
        <v>51</v>
      </c>
      <c r="N44" s="27"/>
      <c r="O44" s="28"/>
      <c r="P44" s="28"/>
      <c r="Q44" s="29"/>
      <c r="R44" s="28"/>
      <c r="S44" s="28"/>
    </row>
    <row r="45" ht="29" customHeight="1" spans="1:19">
      <c r="A45" s="20">
        <v>44</v>
      </c>
      <c r="B45" s="21" t="s">
        <v>230</v>
      </c>
      <c r="C45" s="22" t="s">
        <v>231</v>
      </c>
      <c r="D45" s="22" t="s">
        <v>155</v>
      </c>
      <c r="E45" s="22" t="e">
        <f>VLOOKUP(C45,#REF!,3,0)</f>
        <v>#REF!</v>
      </c>
      <c r="F45" s="23">
        <v>45706</v>
      </c>
      <c r="G45" s="24">
        <f t="shared" si="1"/>
        <v>2</v>
      </c>
      <c r="H45" s="22" t="s">
        <v>232</v>
      </c>
      <c r="I45" s="25" t="s">
        <v>233</v>
      </c>
      <c r="J45" s="26" t="s">
        <v>234</v>
      </c>
      <c r="K45" s="24"/>
      <c r="L45" s="27" t="s">
        <v>107</v>
      </c>
      <c r="M45" s="27" t="s">
        <v>108</v>
      </c>
      <c r="N45" s="27"/>
      <c r="O45" s="28"/>
      <c r="P45" s="28"/>
      <c r="Q45" s="29"/>
      <c r="R45" s="28"/>
      <c r="S45" s="28"/>
    </row>
    <row r="46" ht="29" customHeight="1" spans="1:19">
      <c r="A46" s="20">
        <v>45</v>
      </c>
      <c r="B46" s="21" t="s">
        <v>235</v>
      </c>
      <c r="C46" s="22" t="s">
        <v>236</v>
      </c>
      <c r="D46" s="22" t="s">
        <v>237</v>
      </c>
      <c r="E46" s="22" t="e">
        <f>VLOOKUP(C46,#REF!,3,0)</f>
        <v>#REF!</v>
      </c>
      <c r="F46" s="23">
        <v>45710</v>
      </c>
      <c r="G46" s="24">
        <f t="shared" si="1"/>
        <v>2</v>
      </c>
      <c r="H46" s="31" t="s">
        <v>238</v>
      </c>
      <c r="I46" s="25" t="s">
        <v>239</v>
      </c>
      <c r="J46" s="26" t="s">
        <v>106</v>
      </c>
      <c r="K46" s="24"/>
      <c r="L46" s="27" t="s">
        <v>107</v>
      </c>
      <c r="M46" s="27" t="s">
        <v>108</v>
      </c>
      <c r="N46" s="27"/>
      <c r="O46" s="28"/>
      <c r="P46" s="28"/>
      <c r="Q46" s="29"/>
      <c r="R46" s="28"/>
      <c r="S46" s="28"/>
    </row>
    <row r="47" ht="29" customHeight="1" spans="1:19">
      <c r="A47" s="20">
        <v>46</v>
      </c>
      <c r="B47" s="21" t="s">
        <v>240</v>
      </c>
      <c r="C47" s="22" t="s">
        <v>133</v>
      </c>
      <c r="D47" s="22" t="s">
        <v>103</v>
      </c>
      <c r="E47" s="22" t="e">
        <f>VLOOKUP(C47,#REF!,3,0)</f>
        <v>#REF!</v>
      </c>
      <c r="F47" s="23">
        <v>45711</v>
      </c>
      <c r="G47" s="24">
        <f t="shared" si="1"/>
        <v>2</v>
      </c>
      <c r="H47" s="22" t="s">
        <v>241</v>
      </c>
      <c r="I47" s="25" t="s">
        <v>242</v>
      </c>
      <c r="J47" s="26" t="s">
        <v>170</v>
      </c>
      <c r="K47" s="24"/>
      <c r="L47" s="27" t="s">
        <v>50</v>
      </c>
      <c r="M47" s="27" t="s">
        <v>60</v>
      </c>
      <c r="N47" s="27"/>
      <c r="O47" s="28"/>
      <c r="P47" s="28"/>
      <c r="Q47" s="29"/>
      <c r="R47" s="28"/>
      <c r="S47" s="28"/>
    </row>
    <row r="48" ht="29" customHeight="1" spans="1:19">
      <c r="A48" s="20">
        <v>47</v>
      </c>
      <c r="B48" s="21" t="s">
        <v>243</v>
      </c>
      <c r="C48" s="22" t="s">
        <v>73</v>
      </c>
      <c r="D48" s="22" t="s">
        <v>74</v>
      </c>
      <c r="E48" s="22" t="e">
        <f>VLOOKUP(C48,#REF!,3,0)</f>
        <v>#REF!</v>
      </c>
      <c r="F48" s="23">
        <v>45712</v>
      </c>
      <c r="G48" s="24">
        <f t="shared" si="1"/>
        <v>2</v>
      </c>
      <c r="H48" s="22" t="s">
        <v>244</v>
      </c>
      <c r="I48" s="25" t="s">
        <v>245</v>
      </c>
      <c r="J48" s="26" t="s">
        <v>158</v>
      </c>
      <c r="K48" s="24"/>
      <c r="L48" s="27" t="s">
        <v>50</v>
      </c>
      <c r="M48" s="27" t="s">
        <v>60</v>
      </c>
      <c r="N48" s="27"/>
      <c r="O48" s="28"/>
      <c r="P48" s="28"/>
      <c r="Q48" s="29"/>
      <c r="R48" s="28"/>
      <c r="S48" s="28"/>
    </row>
    <row r="49" ht="29" customHeight="1" spans="1:19">
      <c r="A49" s="20">
        <v>48</v>
      </c>
      <c r="B49" s="21" t="s">
        <v>246</v>
      </c>
      <c r="C49" s="22" t="s">
        <v>140</v>
      </c>
      <c r="D49" s="22" t="s">
        <v>124</v>
      </c>
      <c r="E49" s="22" t="e">
        <f>VLOOKUP(C49,#REF!,3,0)</f>
        <v>#REF!</v>
      </c>
      <c r="F49" s="23">
        <v>45713</v>
      </c>
      <c r="G49" s="24">
        <f t="shared" si="1"/>
        <v>2</v>
      </c>
      <c r="H49" s="22" t="s">
        <v>247</v>
      </c>
      <c r="I49" s="25" t="s">
        <v>248</v>
      </c>
      <c r="J49" s="26" t="s">
        <v>59</v>
      </c>
      <c r="K49" s="24"/>
      <c r="L49" s="27" t="s">
        <v>50</v>
      </c>
      <c r="M49" s="27" t="s">
        <v>60</v>
      </c>
      <c r="N49" s="27"/>
      <c r="O49" s="28"/>
      <c r="P49" s="28"/>
      <c r="Q49" s="29"/>
      <c r="R49" s="28"/>
      <c r="S49" s="28"/>
    </row>
    <row r="50" ht="29" customHeight="1" spans="1:19">
      <c r="A50" s="20">
        <v>49</v>
      </c>
      <c r="B50" s="21" t="s">
        <v>249</v>
      </c>
      <c r="C50" s="22" t="s">
        <v>182</v>
      </c>
      <c r="D50" s="22" t="s">
        <v>183</v>
      </c>
      <c r="E50" s="22" t="e">
        <f>VLOOKUP(C50,#REF!,3,0)</f>
        <v>#REF!</v>
      </c>
      <c r="F50" s="23">
        <v>45714</v>
      </c>
      <c r="G50" s="24">
        <f t="shared" ref="G50:G112" si="2">MONTH(F50)</f>
        <v>2</v>
      </c>
      <c r="H50" s="22" t="s">
        <v>250</v>
      </c>
      <c r="I50" s="25" t="s">
        <v>251</v>
      </c>
      <c r="J50" s="26" t="s">
        <v>158</v>
      </c>
      <c r="K50" s="24"/>
      <c r="L50" s="27" t="s">
        <v>50</v>
      </c>
      <c r="M50" s="27" t="s">
        <v>60</v>
      </c>
      <c r="N50" s="27"/>
      <c r="O50" s="28"/>
      <c r="P50" s="28"/>
      <c r="Q50" s="29"/>
      <c r="R50" s="28"/>
      <c r="S50" s="28"/>
    </row>
    <row r="51" ht="29" customHeight="1" spans="1:19">
      <c r="A51" s="20">
        <v>50</v>
      </c>
      <c r="B51" s="21" t="s">
        <v>252</v>
      </c>
      <c r="C51" s="22" t="s">
        <v>85</v>
      </c>
      <c r="D51" s="22" t="s">
        <v>63</v>
      </c>
      <c r="E51" s="22" t="e">
        <f>VLOOKUP(C51,#REF!,3,0)</f>
        <v>#REF!</v>
      </c>
      <c r="F51" s="23">
        <v>45714</v>
      </c>
      <c r="G51" s="24">
        <f t="shared" si="2"/>
        <v>2</v>
      </c>
      <c r="H51" s="22" t="s">
        <v>253</v>
      </c>
      <c r="I51" s="25" t="s">
        <v>254</v>
      </c>
      <c r="J51" s="26" t="s">
        <v>66</v>
      </c>
      <c r="K51" s="24"/>
      <c r="L51" s="27" t="s">
        <v>50</v>
      </c>
      <c r="M51" s="27" t="s">
        <v>51</v>
      </c>
      <c r="N51" s="27"/>
      <c r="O51" s="28"/>
      <c r="P51" s="28"/>
      <c r="Q51" s="29"/>
      <c r="R51" s="28"/>
      <c r="S51" s="28"/>
    </row>
    <row r="52" ht="29" customHeight="1" spans="1:19">
      <c r="A52" s="20">
        <v>51</v>
      </c>
      <c r="B52" s="30" t="s">
        <v>255</v>
      </c>
      <c r="C52" s="22" t="s">
        <v>256</v>
      </c>
      <c r="D52" s="22" t="s">
        <v>155</v>
      </c>
      <c r="E52" s="22" t="e">
        <f>VLOOKUP(C52,#REF!,3,0)</f>
        <v>#REF!</v>
      </c>
      <c r="F52" s="23">
        <v>45714</v>
      </c>
      <c r="G52" s="24">
        <f t="shared" si="2"/>
        <v>2</v>
      </c>
      <c r="H52" s="22" t="s">
        <v>257</v>
      </c>
      <c r="I52" s="25" t="s">
        <v>258</v>
      </c>
      <c r="J52" s="26" t="s">
        <v>106</v>
      </c>
      <c r="K52" s="24"/>
      <c r="L52" s="27" t="s">
        <v>107</v>
      </c>
      <c r="M52" s="27" t="s">
        <v>108</v>
      </c>
      <c r="N52" s="27"/>
      <c r="O52" s="28"/>
      <c r="P52" s="28"/>
      <c r="Q52" s="29"/>
      <c r="R52" s="28"/>
      <c r="S52" s="28"/>
    </row>
    <row r="53" ht="29" customHeight="1" spans="1:19">
      <c r="A53" s="20">
        <v>52</v>
      </c>
      <c r="B53" s="21" t="s">
        <v>259</v>
      </c>
      <c r="C53" s="22" t="s">
        <v>236</v>
      </c>
      <c r="D53" s="22" t="s">
        <v>237</v>
      </c>
      <c r="E53" s="22" t="e">
        <f>VLOOKUP(C53,#REF!,3,0)</f>
        <v>#REF!</v>
      </c>
      <c r="F53" s="23">
        <v>45714</v>
      </c>
      <c r="G53" s="24">
        <f t="shared" si="2"/>
        <v>2</v>
      </c>
      <c r="H53" s="22" t="s">
        <v>260</v>
      </c>
      <c r="I53" s="25" t="s">
        <v>261</v>
      </c>
      <c r="J53" s="26" t="s">
        <v>66</v>
      </c>
      <c r="K53" s="24"/>
      <c r="L53" s="27" t="s">
        <v>50</v>
      </c>
      <c r="M53" s="27" t="s">
        <v>51</v>
      </c>
      <c r="N53" s="27"/>
      <c r="O53" s="28"/>
      <c r="P53" s="28"/>
      <c r="Q53" s="29"/>
      <c r="R53" s="28"/>
      <c r="S53" s="28"/>
    </row>
    <row r="54" ht="29" customHeight="1" spans="1:19">
      <c r="A54" s="20">
        <v>53</v>
      </c>
      <c r="B54" s="21" t="s">
        <v>262</v>
      </c>
      <c r="C54" s="22" t="s">
        <v>263</v>
      </c>
      <c r="D54" s="22" t="s">
        <v>63</v>
      </c>
      <c r="E54" s="22" t="e">
        <f>VLOOKUP(C54,#REF!,3,0)</f>
        <v>#REF!</v>
      </c>
      <c r="F54" s="23">
        <v>45715</v>
      </c>
      <c r="G54" s="24">
        <f t="shared" si="2"/>
        <v>2</v>
      </c>
      <c r="H54" s="22" t="s">
        <v>264</v>
      </c>
      <c r="I54" s="25" t="s">
        <v>265</v>
      </c>
      <c r="J54" s="26" t="s">
        <v>158</v>
      </c>
      <c r="K54" s="24"/>
      <c r="L54" s="27" t="s">
        <v>50</v>
      </c>
      <c r="M54" s="27" t="s">
        <v>60</v>
      </c>
      <c r="N54" s="27"/>
      <c r="O54" s="28"/>
      <c r="P54" s="28"/>
      <c r="Q54" s="29"/>
      <c r="R54" s="28"/>
      <c r="S54" s="28"/>
    </row>
    <row r="55" ht="29" customHeight="1" spans="1:19">
      <c r="A55" s="20">
        <v>54</v>
      </c>
      <c r="B55" s="21" t="s">
        <v>266</v>
      </c>
      <c r="C55" s="22" t="s">
        <v>231</v>
      </c>
      <c r="D55" s="22" t="s">
        <v>155</v>
      </c>
      <c r="E55" s="22" t="e">
        <f>VLOOKUP(C55,#REF!,3,0)</f>
        <v>#REF!</v>
      </c>
      <c r="F55" s="23">
        <v>45716</v>
      </c>
      <c r="G55" s="24">
        <f t="shared" si="2"/>
        <v>2</v>
      </c>
      <c r="H55" s="22" t="s">
        <v>267</v>
      </c>
      <c r="I55" s="25" t="s">
        <v>268</v>
      </c>
      <c r="J55" s="26" t="s">
        <v>59</v>
      </c>
      <c r="K55" s="24"/>
      <c r="L55" s="27" t="s">
        <v>50</v>
      </c>
      <c r="M55" s="27" t="s">
        <v>60</v>
      </c>
      <c r="N55" s="27"/>
      <c r="O55" s="28"/>
      <c r="P55" s="28"/>
      <c r="Q55" s="29"/>
      <c r="R55" s="28"/>
      <c r="S55" s="28"/>
    </row>
    <row r="56" ht="29" customHeight="1" spans="1:19">
      <c r="A56" s="20">
        <v>55</v>
      </c>
      <c r="B56" s="21" t="s">
        <v>269</v>
      </c>
      <c r="C56" s="22" t="s">
        <v>154</v>
      </c>
      <c r="D56" s="22" t="s">
        <v>155</v>
      </c>
      <c r="E56" s="22" t="e">
        <f>VLOOKUP(C56,#REF!,3,0)</f>
        <v>#REF!</v>
      </c>
      <c r="F56" s="23">
        <v>45718</v>
      </c>
      <c r="G56" s="24">
        <f t="shared" si="2"/>
        <v>3</v>
      </c>
      <c r="H56" s="22" t="s">
        <v>270</v>
      </c>
      <c r="I56" s="25" t="s">
        <v>271</v>
      </c>
      <c r="J56" s="26" t="s">
        <v>127</v>
      </c>
      <c r="K56" s="24"/>
      <c r="L56" s="27" t="s">
        <v>107</v>
      </c>
      <c r="M56" s="27" t="s">
        <v>108</v>
      </c>
      <c r="N56" s="27"/>
      <c r="O56" s="28"/>
      <c r="P56" s="28"/>
      <c r="Q56" s="29"/>
      <c r="R56" s="28"/>
      <c r="S56" s="28"/>
    </row>
    <row r="57" ht="29" customHeight="1" spans="1:19">
      <c r="A57" s="20">
        <v>56</v>
      </c>
      <c r="B57" s="21" t="s">
        <v>272</v>
      </c>
      <c r="C57" s="22" t="s">
        <v>273</v>
      </c>
      <c r="D57" s="22" t="s">
        <v>274</v>
      </c>
      <c r="E57" s="22" t="e">
        <f>VLOOKUP(C57,#REF!,3,0)</f>
        <v>#REF!</v>
      </c>
      <c r="F57" s="23">
        <v>45718</v>
      </c>
      <c r="G57" s="24">
        <f t="shared" si="2"/>
        <v>3</v>
      </c>
      <c r="H57" s="22" t="s">
        <v>275</v>
      </c>
      <c r="I57" s="25" t="s">
        <v>276</v>
      </c>
      <c r="J57" s="26" t="s">
        <v>59</v>
      </c>
      <c r="K57" s="24"/>
      <c r="L57" s="27" t="s">
        <v>50</v>
      </c>
      <c r="M57" s="27" t="s">
        <v>60</v>
      </c>
      <c r="N57" s="27"/>
      <c r="O57" s="28"/>
      <c r="P57" s="28"/>
      <c r="Q57" s="29"/>
      <c r="R57" s="28"/>
      <c r="S57" s="28"/>
    </row>
    <row r="58" ht="29" customHeight="1" spans="1:19">
      <c r="A58" s="20">
        <v>57</v>
      </c>
      <c r="B58" s="21" t="s">
        <v>277</v>
      </c>
      <c r="C58" s="22" t="s">
        <v>45</v>
      </c>
      <c r="D58" s="22" t="s">
        <v>46</v>
      </c>
      <c r="E58" s="22" t="e">
        <f>VLOOKUP(C58,#REF!,3,0)</f>
        <v>#REF!</v>
      </c>
      <c r="F58" s="23">
        <v>45718</v>
      </c>
      <c r="G58" s="24">
        <f t="shared" si="2"/>
        <v>3</v>
      </c>
      <c r="H58" s="22" t="s">
        <v>278</v>
      </c>
      <c r="I58" s="25" t="s">
        <v>279</v>
      </c>
      <c r="J58" s="26" t="s">
        <v>59</v>
      </c>
      <c r="K58" s="24"/>
      <c r="L58" s="27" t="s">
        <v>50</v>
      </c>
      <c r="M58" s="27" t="s">
        <v>60</v>
      </c>
      <c r="N58" s="27"/>
      <c r="O58" s="28"/>
      <c r="P58" s="28"/>
      <c r="Q58" s="29"/>
      <c r="R58" s="28"/>
      <c r="S58" s="28"/>
    </row>
    <row r="59" ht="29" customHeight="1" spans="1:19">
      <c r="A59" s="20">
        <v>58</v>
      </c>
      <c r="B59" s="21" t="s">
        <v>280</v>
      </c>
      <c r="C59" s="22" t="s">
        <v>182</v>
      </c>
      <c r="D59" s="22" t="s">
        <v>183</v>
      </c>
      <c r="E59" s="22" t="e">
        <f>VLOOKUP(C59,#REF!,3,0)</f>
        <v>#REF!</v>
      </c>
      <c r="F59" s="23">
        <v>45720</v>
      </c>
      <c r="G59" s="24">
        <f t="shared" si="2"/>
        <v>3</v>
      </c>
      <c r="H59" s="22" t="s">
        <v>281</v>
      </c>
      <c r="I59" s="25" t="s">
        <v>282</v>
      </c>
      <c r="J59" s="26" t="s">
        <v>66</v>
      </c>
      <c r="K59" s="24"/>
      <c r="L59" s="27" t="s">
        <v>107</v>
      </c>
      <c r="M59" s="27" t="s">
        <v>108</v>
      </c>
      <c r="N59" s="27"/>
      <c r="O59" s="28"/>
      <c r="P59" s="28"/>
      <c r="Q59" s="29"/>
      <c r="R59" s="28"/>
      <c r="S59" s="28"/>
    </row>
    <row r="60" ht="29" customHeight="1" spans="1:19">
      <c r="A60" s="20">
        <v>59</v>
      </c>
      <c r="B60" s="21" t="s">
        <v>283</v>
      </c>
      <c r="C60" s="22" t="s">
        <v>284</v>
      </c>
      <c r="D60" s="22" t="s">
        <v>155</v>
      </c>
      <c r="E60" s="22" t="e">
        <f>VLOOKUP(C60,#REF!,3,0)</f>
        <v>#REF!</v>
      </c>
      <c r="F60" s="23">
        <v>45721</v>
      </c>
      <c r="G60" s="24">
        <f t="shared" si="2"/>
        <v>3</v>
      </c>
      <c r="H60" s="22" t="s">
        <v>285</v>
      </c>
      <c r="I60" s="25" t="s">
        <v>286</v>
      </c>
      <c r="J60" s="26" t="s">
        <v>66</v>
      </c>
      <c r="K60" s="24"/>
      <c r="L60" s="27" t="s">
        <v>107</v>
      </c>
      <c r="M60" s="27" t="s">
        <v>108</v>
      </c>
      <c r="N60" s="27"/>
      <c r="O60" s="28"/>
      <c r="P60" s="28"/>
      <c r="Q60" s="29"/>
      <c r="R60" s="28"/>
      <c r="S60" s="28"/>
    </row>
    <row r="61" ht="29" customHeight="1" spans="1:19">
      <c r="A61" s="20">
        <v>60</v>
      </c>
      <c r="B61" s="21" t="s">
        <v>287</v>
      </c>
      <c r="C61" s="22" t="s">
        <v>288</v>
      </c>
      <c r="D61" s="22" t="s">
        <v>274</v>
      </c>
      <c r="E61" s="22" t="e">
        <f>VLOOKUP(C61,#REF!,3,0)</f>
        <v>#REF!</v>
      </c>
      <c r="F61" s="23">
        <v>45722</v>
      </c>
      <c r="G61" s="24">
        <f t="shared" si="2"/>
        <v>3</v>
      </c>
      <c r="H61" s="22" t="s">
        <v>289</v>
      </c>
      <c r="I61" s="25" t="s">
        <v>290</v>
      </c>
      <c r="J61" s="26" t="s">
        <v>49</v>
      </c>
      <c r="K61" s="24"/>
      <c r="L61" s="27" t="s">
        <v>50</v>
      </c>
      <c r="M61" s="27" t="s">
        <v>60</v>
      </c>
      <c r="N61" s="27"/>
      <c r="O61" s="28"/>
      <c r="P61" s="28"/>
      <c r="Q61" s="29"/>
      <c r="R61" s="28"/>
      <c r="S61" s="28"/>
    </row>
    <row r="62" ht="29" customHeight="1" spans="1:19">
      <c r="A62" s="20">
        <v>61</v>
      </c>
      <c r="B62" s="21" t="s">
        <v>291</v>
      </c>
      <c r="C62" s="22" t="s">
        <v>292</v>
      </c>
      <c r="D62" s="22" t="s">
        <v>46</v>
      </c>
      <c r="E62" s="22" t="e">
        <f>VLOOKUP(C62,#REF!,3,0)</f>
        <v>#REF!</v>
      </c>
      <c r="F62" s="23">
        <v>45722</v>
      </c>
      <c r="G62" s="24">
        <f t="shared" si="2"/>
        <v>3</v>
      </c>
      <c r="H62" s="22" t="s">
        <v>293</v>
      </c>
      <c r="I62" s="25" t="s">
        <v>294</v>
      </c>
      <c r="J62" s="26" t="s">
        <v>66</v>
      </c>
      <c r="K62" s="24"/>
      <c r="L62" s="27" t="s">
        <v>50</v>
      </c>
      <c r="M62" s="27" t="s">
        <v>60</v>
      </c>
      <c r="N62" s="27"/>
      <c r="O62" s="28"/>
      <c r="P62" s="28"/>
      <c r="Q62" s="29"/>
      <c r="R62" s="28"/>
      <c r="S62" s="28"/>
    </row>
    <row r="63" ht="29" customHeight="1" spans="1:19">
      <c r="A63" s="20">
        <v>62</v>
      </c>
      <c r="B63" s="21" t="s">
        <v>295</v>
      </c>
      <c r="C63" s="22" t="s">
        <v>273</v>
      </c>
      <c r="D63" s="22" t="s">
        <v>274</v>
      </c>
      <c r="E63" s="22" t="e">
        <f>VLOOKUP(C63,#REF!,3,0)</f>
        <v>#REF!</v>
      </c>
      <c r="F63" s="23">
        <v>45723</v>
      </c>
      <c r="G63" s="24">
        <f t="shared" si="2"/>
        <v>3</v>
      </c>
      <c r="H63" s="22" t="s">
        <v>296</v>
      </c>
      <c r="I63" s="25" t="s">
        <v>297</v>
      </c>
      <c r="J63" s="26" t="s">
        <v>49</v>
      </c>
      <c r="K63" s="24"/>
      <c r="L63" s="27" t="s">
        <v>50</v>
      </c>
      <c r="M63" s="27" t="s">
        <v>60</v>
      </c>
      <c r="N63" s="27"/>
      <c r="O63" s="28"/>
      <c r="P63" s="28"/>
      <c r="Q63" s="29"/>
      <c r="R63" s="28"/>
      <c r="S63" s="28"/>
    </row>
    <row r="64" ht="29" customHeight="1" spans="1:19">
      <c r="A64" s="20">
        <v>63</v>
      </c>
      <c r="B64" s="21" t="s">
        <v>298</v>
      </c>
      <c r="C64" s="22" t="s">
        <v>110</v>
      </c>
      <c r="D64" s="22" t="s">
        <v>80</v>
      </c>
      <c r="E64" s="22" t="e">
        <f>VLOOKUP(C64,#REF!,3,0)</f>
        <v>#REF!</v>
      </c>
      <c r="F64" s="23">
        <v>45729</v>
      </c>
      <c r="G64" s="24">
        <f t="shared" si="2"/>
        <v>3</v>
      </c>
      <c r="H64" s="22" t="s">
        <v>299</v>
      </c>
      <c r="I64" s="25" t="s">
        <v>300</v>
      </c>
      <c r="J64" s="26" t="s">
        <v>127</v>
      </c>
      <c r="K64" s="24"/>
      <c r="L64" s="27" t="s">
        <v>107</v>
      </c>
      <c r="M64" s="27" t="s">
        <v>108</v>
      </c>
      <c r="N64" s="27"/>
      <c r="O64" s="28"/>
      <c r="P64" s="28"/>
      <c r="Q64" s="29"/>
      <c r="R64" s="28"/>
      <c r="S64" s="28"/>
    </row>
    <row r="65" ht="29" customHeight="1" spans="1:19">
      <c r="A65" s="20">
        <v>64</v>
      </c>
      <c r="B65" s="21" t="s">
        <v>301</v>
      </c>
      <c r="C65" s="22" t="s">
        <v>302</v>
      </c>
      <c r="D65" s="22" t="s">
        <v>124</v>
      </c>
      <c r="E65" s="22" t="e">
        <f>VLOOKUP(C65,#REF!,3,0)</f>
        <v>#REF!</v>
      </c>
      <c r="F65" s="23">
        <v>45730</v>
      </c>
      <c r="G65" s="24">
        <f t="shared" si="2"/>
        <v>3</v>
      </c>
      <c r="H65" s="22" t="s">
        <v>303</v>
      </c>
      <c r="I65" s="25" t="s">
        <v>304</v>
      </c>
      <c r="J65" s="26" t="s">
        <v>127</v>
      </c>
      <c r="K65" s="24"/>
      <c r="L65" s="27" t="s">
        <v>107</v>
      </c>
      <c r="M65" s="27" t="s">
        <v>108</v>
      </c>
      <c r="N65" s="27"/>
      <c r="O65" s="28"/>
      <c r="P65" s="28"/>
      <c r="Q65" s="29"/>
      <c r="R65" s="28"/>
      <c r="S65" s="28"/>
    </row>
    <row r="66" ht="29" customHeight="1" spans="1:19">
      <c r="A66" s="20">
        <v>65</v>
      </c>
      <c r="B66" s="21" t="s">
        <v>305</v>
      </c>
      <c r="C66" s="22" t="s">
        <v>273</v>
      </c>
      <c r="D66" s="22" t="s">
        <v>274</v>
      </c>
      <c r="E66" s="22" t="e">
        <f>VLOOKUP(C66,#REF!,3,0)</f>
        <v>#REF!</v>
      </c>
      <c r="F66" s="23">
        <v>45730</v>
      </c>
      <c r="G66" s="24">
        <f t="shared" si="2"/>
        <v>3</v>
      </c>
      <c r="H66" s="22" t="s">
        <v>306</v>
      </c>
      <c r="I66" s="25" t="s">
        <v>307</v>
      </c>
      <c r="J66" s="26" t="s">
        <v>59</v>
      </c>
      <c r="K66" s="24"/>
      <c r="L66" s="27" t="s">
        <v>50</v>
      </c>
      <c r="M66" s="27" t="s">
        <v>60</v>
      </c>
      <c r="N66" s="27"/>
      <c r="O66" s="28"/>
      <c r="P66" s="28"/>
      <c r="Q66" s="29"/>
      <c r="R66" s="28"/>
      <c r="S66" s="28"/>
    </row>
    <row r="67" ht="29" customHeight="1" spans="1:19">
      <c r="A67" s="20">
        <v>66</v>
      </c>
      <c r="B67" s="21" t="s">
        <v>308</v>
      </c>
      <c r="C67" s="22" t="s">
        <v>73</v>
      </c>
      <c r="D67" s="22" t="s">
        <v>74</v>
      </c>
      <c r="E67" s="22" t="e">
        <f>VLOOKUP(C67,#REF!,3,0)</f>
        <v>#REF!</v>
      </c>
      <c r="F67" s="23">
        <v>45730</v>
      </c>
      <c r="G67" s="24">
        <f t="shared" si="2"/>
        <v>3</v>
      </c>
      <c r="H67" s="22" t="s">
        <v>309</v>
      </c>
      <c r="I67" s="25" t="s">
        <v>310</v>
      </c>
      <c r="J67" s="26" t="s">
        <v>170</v>
      </c>
      <c r="K67" s="24"/>
      <c r="L67" s="27" t="s">
        <v>107</v>
      </c>
      <c r="M67" s="27" t="s">
        <v>108</v>
      </c>
      <c r="N67" s="27"/>
      <c r="O67" s="28"/>
      <c r="P67" s="28"/>
      <c r="Q67" s="29"/>
      <c r="R67" s="28"/>
      <c r="S67" s="28"/>
    </row>
    <row r="68" ht="29" customHeight="1" spans="1:19">
      <c r="A68" s="20">
        <v>67</v>
      </c>
      <c r="B68" s="21" t="s">
        <v>311</v>
      </c>
      <c r="C68" s="22" t="s">
        <v>85</v>
      </c>
      <c r="D68" s="22" t="s">
        <v>63</v>
      </c>
      <c r="E68" s="22" t="e">
        <f>VLOOKUP(C68,#REF!,3,0)</f>
        <v>#REF!</v>
      </c>
      <c r="F68" s="23">
        <v>45733</v>
      </c>
      <c r="G68" s="24">
        <f t="shared" si="2"/>
        <v>3</v>
      </c>
      <c r="H68" s="22" t="s">
        <v>312</v>
      </c>
      <c r="I68" s="25" t="s">
        <v>313</v>
      </c>
      <c r="J68" s="26" t="s">
        <v>59</v>
      </c>
      <c r="K68" s="24"/>
      <c r="L68" s="27" t="s">
        <v>50</v>
      </c>
      <c r="M68" s="27" t="s">
        <v>60</v>
      </c>
      <c r="N68" s="27"/>
      <c r="O68" s="28"/>
      <c r="P68" s="28"/>
      <c r="Q68" s="29"/>
      <c r="R68" s="28"/>
      <c r="S68" s="28"/>
    </row>
    <row r="69" ht="29" customHeight="1" spans="1:19">
      <c r="A69" s="20">
        <v>68</v>
      </c>
      <c r="B69" s="21" t="s">
        <v>314</v>
      </c>
      <c r="C69" s="22" t="s">
        <v>315</v>
      </c>
      <c r="D69" s="22" t="s">
        <v>316</v>
      </c>
      <c r="E69" s="22" t="e">
        <f>VLOOKUP(C69,#REF!,3,0)</f>
        <v>#REF!</v>
      </c>
      <c r="F69" s="23">
        <v>45736</v>
      </c>
      <c r="G69" s="24">
        <f t="shared" si="2"/>
        <v>3</v>
      </c>
      <c r="H69" s="22" t="s">
        <v>317</v>
      </c>
      <c r="I69" s="25" t="s">
        <v>318</v>
      </c>
      <c r="J69" s="26" t="s">
        <v>127</v>
      </c>
      <c r="K69" s="26"/>
      <c r="L69" s="27" t="s">
        <v>107</v>
      </c>
      <c r="M69" s="27" t="s">
        <v>108</v>
      </c>
      <c r="N69" s="27"/>
      <c r="O69" s="28"/>
      <c r="P69" s="28"/>
      <c r="Q69" s="29"/>
      <c r="R69" s="28"/>
      <c r="S69" s="28"/>
    </row>
    <row r="70" ht="29" customHeight="1" spans="1:19">
      <c r="A70" s="20">
        <v>69</v>
      </c>
      <c r="B70" s="21" t="s">
        <v>319</v>
      </c>
      <c r="C70" s="22" t="s">
        <v>150</v>
      </c>
      <c r="D70" s="22" t="s">
        <v>90</v>
      </c>
      <c r="E70" s="22" t="e">
        <f>VLOOKUP(C70,#REF!,3,0)</f>
        <v>#REF!</v>
      </c>
      <c r="F70" s="23">
        <v>45736</v>
      </c>
      <c r="G70" s="24">
        <f t="shared" si="2"/>
        <v>3</v>
      </c>
      <c r="H70" s="22" t="s">
        <v>320</v>
      </c>
      <c r="I70" s="25" t="s">
        <v>321</v>
      </c>
      <c r="J70" s="26" t="s">
        <v>59</v>
      </c>
      <c r="K70" s="24"/>
      <c r="L70" s="27" t="s">
        <v>50</v>
      </c>
      <c r="M70" s="27" t="s">
        <v>60</v>
      </c>
      <c r="N70" s="27"/>
      <c r="O70" s="28"/>
      <c r="P70" s="28"/>
      <c r="Q70" s="29"/>
      <c r="R70" s="28"/>
      <c r="S70" s="28"/>
    </row>
    <row r="71" ht="29" customHeight="1" spans="1:19">
      <c r="A71" s="20">
        <v>70</v>
      </c>
      <c r="B71" s="21" t="s">
        <v>322</v>
      </c>
      <c r="C71" s="22" t="s">
        <v>302</v>
      </c>
      <c r="D71" s="22" t="s">
        <v>124</v>
      </c>
      <c r="E71" s="22" t="e">
        <f>VLOOKUP(C71,#REF!,3,0)</f>
        <v>#REF!</v>
      </c>
      <c r="F71" s="23">
        <v>45737</v>
      </c>
      <c r="G71" s="24">
        <f t="shared" si="2"/>
        <v>3</v>
      </c>
      <c r="H71" s="22" t="s">
        <v>323</v>
      </c>
      <c r="I71" s="25" t="s">
        <v>324</v>
      </c>
      <c r="J71" s="26" t="s">
        <v>325</v>
      </c>
      <c r="K71" s="24"/>
      <c r="L71" s="27" t="s">
        <v>107</v>
      </c>
      <c r="M71" s="27" t="s">
        <v>108</v>
      </c>
      <c r="N71" s="27"/>
      <c r="O71" s="28"/>
      <c r="P71" s="28"/>
      <c r="Q71" s="29"/>
      <c r="R71" s="28"/>
      <c r="S71" s="28"/>
    </row>
    <row r="72" ht="29" customHeight="1" spans="1:19">
      <c r="A72" s="20">
        <v>71</v>
      </c>
      <c r="B72" s="21" t="s">
        <v>326</v>
      </c>
      <c r="C72" s="22" t="s">
        <v>94</v>
      </c>
      <c r="D72" s="22" t="s">
        <v>95</v>
      </c>
      <c r="E72" s="22" t="e">
        <f>VLOOKUP(C72,#REF!,3,0)</f>
        <v>#REF!</v>
      </c>
      <c r="F72" s="23">
        <v>45737</v>
      </c>
      <c r="G72" s="24">
        <f t="shared" si="2"/>
        <v>3</v>
      </c>
      <c r="H72" s="22" t="s">
        <v>327</v>
      </c>
      <c r="I72" s="25" t="s">
        <v>328</v>
      </c>
      <c r="J72" s="26" t="s">
        <v>158</v>
      </c>
      <c r="K72" s="24"/>
      <c r="L72" s="27" t="s">
        <v>107</v>
      </c>
      <c r="M72" s="27" t="s">
        <v>108</v>
      </c>
      <c r="N72" s="27"/>
      <c r="O72" s="28"/>
      <c r="P72" s="28"/>
      <c r="Q72" s="29"/>
      <c r="R72" s="28"/>
      <c r="S72" s="28"/>
    </row>
    <row r="73" ht="29" customHeight="1" spans="1:19">
      <c r="A73" s="20">
        <v>72</v>
      </c>
      <c r="B73" s="21" t="s">
        <v>329</v>
      </c>
      <c r="C73" s="22" t="s">
        <v>182</v>
      </c>
      <c r="D73" s="22" t="s">
        <v>183</v>
      </c>
      <c r="E73" s="22" t="e">
        <f>VLOOKUP(C73,#REF!,3,0)</f>
        <v>#REF!</v>
      </c>
      <c r="F73" s="23">
        <v>45737</v>
      </c>
      <c r="G73" s="24">
        <f t="shared" si="2"/>
        <v>3</v>
      </c>
      <c r="H73" s="22" t="s">
        <v>330</v>
      </c>
      <c r="I73" s="25" t="s">
        <v>331</v>
      </c>
      <c r="J73" s="26" t="s">
        <v>127</v>
      </c>
      <c r="K73" s="24"/>
      <c r="L73" s="27" t="s">
        <v>107</v>
      </c>
      <c r="M73" s="27" t="s">
        <v>108</v>
      </c>
      <c r="N73" s="27"/>
      <c r="O73" s="28"/>
      <c r="P73" s="28"/>
      <c r="Q73" s="29"/>
      <c r="R73" s="28"/>
      <c r="S73" s="28"/>
    </row>
    <row r="74" ht="29" customHeight="1" spans="1:19">
      <c r="A74" s="20">
        <v>73</v>
      </c>
      <c r="B74" s="21" t="s">
        <v>332</v>
      </c>
      <c r="C74" s="22" t="s">
        <v>333</v>
      </c>
      <c r="D74" s="22" t="s">
        <v>95</v>
      </c>
      <c r="E74" s="22" t="e">
        <f>VLOOKUP(C74,#REF!,3,0)</f>
        <v>#REF!</v>
      </c>
      <c r="F74" s="23">
        <v>45738</v>
      </c>
      <c r="G74" s="24">
        <f t="shared" si="2"/>
        <v>3</v>
      </c>
      <c r="H74" s="22" t="s">
        <v>334</v>
      </c>
      <c r="I74" s="25" t="s">
        <v>335</v>
      </c>
      <c r="J74" s="26" t="s">
        <v>158</v>
      </c>
      <c r="K74" s="24"/>
      <c r="L74" s="27" t="s">
        <v>50</v>
      </c>
      <c r="M74" s="27" t="s">
        <v>336</v>
      </c>
      <c r="N74" s="27"/>
      <c r="O74" s="28"/>
      <c r="P74" s="28"/>
      <c r="Q74" s="29"/>
      <c r="R74" s="28"/>
      <c r="S74" s="28"/>
    </row>
    <row r="75" ht="29" customHeight="1" spans="1:19">
      <c r="A75" s="20">
        <v>74</v>
      </c>
      <c r="B75" s="21" t="s">
        <v>337</v>
      </c>
      <c r="C75" s="22" t="s">
        <v>123</v>
      </c>
      <c r="D75" s="22" t="s">
        <v>124</v>
      </c>
      <c r="E75" s="22" t="e">
        <f>VLOOKUP(C75,#REF!,3,0)</f>
        <v>#REF!</v>
      </c>
      <c r="F75" s="23">
        <v>45739</v>
      </c>
      <c r="G75" s="24">
        <f t="shared" si="2"/>
        <v>3</v>
      </c>
      <c r="H75" s="22" t="s">
        <v>338</v>
      </c>
      <c r="I75" s="25" t="s">
        <v>339</v>
      </c>
      <c r="J75" s="26" t="s">
        <v>59</v>
      </c>
      <c r="K75" s="24"/>
      <c r="L75" s="27" t="s">
        <v>50</v>
      </c>
      <c r="M75" s="27" t="s">
        <v>60</v>
      </c>
      <c r="N75" s="27"/>
      <c r="O75" s="28"/>
      <c r="P75" s="28"/>
      <c r="Q75" s="29"/>
      <c r="R75" s="28"/>
      <c r="S75" s="28"/>
    </row>
    <row r="76" ht="29" customHeight="1" spans="1:19">
      <c r="A76" s="20">
        <v>75</v>
      </c>
      <c r="B76" s="21" t="s">
        <v>340</v>
      </c>
      <c r="C76" s="22" t="s">
        <v>55</v>
      </c>
      <c r="D76" s="22" t="s">
        <v>56</v>
      </c>
      <c r="E76" s="22" t="e">
        <f>VLOOKUP(C76,#REF!,3,0)</f>
        <v>#REF!</v>
      </c>
      <c r="F76" s="23">
        <v>45739</v>
      </c>
      <c r="G76" s="24">
        <f t="shared" si="2"/>
        <v>3</v>
      </c>
      <c r="H76" s="22" t="s">
        <v>341</v>
      </c>
      <c r="I76" s="25" t="s">
        <v>342</v>
      </c>
      <c r="J76" s="26" t="s">
        <v>66</v>
      </c>
      <c r="K76" s="24"/>
      <c r="L76" s="27" t="s">
        <v>50</v>
      </c>
      <c r="M76" s="27" t="s">
        <v>60</v>
      </c>
      <c r="N76" s="27"/>
      <c r="O76" s="28"/>
      <c r="P76" s="28"/>
      <c r="Q76" s="29"/>
      <c r="R76" s="28"/>
      <c r="S76" s="28"/>
    </row>
    <row r="77" ht="29" customHeight="1" spans="1:19">
      <c r="A77" s="20">
        <v>76</v>
      </c>
      <c r="B77" s="21" t="s">
        <v>343</v>
      </c>
      <c r="C77" s="22" t="s">
        <v>133</v>
      </c>
      <c r="D77" s="22" t="s">
        <v>103</v>
      </c>
      <c r="E77" s="22" t="e">
        <f>VLOOKUP(C77,#REF!,3,0)</f>
        <v>#REF!</v>
      </c>
      <c r="F77" s="23">
        <v>45739</v>
      </c>
      <c r="G77" s="24">
        <f t="shared" si="2"/>
        <v>3</v>
      </c>
      <c r="H77" s="22" t="s">
        <v>344</v>
      </c>
      <c r="I77" s="25" t="s">
        <v>345</v>
      </c>
      <c r="J77" s="26" t="s">
        <v>127</v>
      </c>
      <c r="K77" s="24"/>
      <c r="L77" s="27" t="s">
        <v>107</v>
      </c>
      <c r="M77" s="27" t="s">
        <v>108</v>
      </c>
      <c r="N77" s="27"/>
      <c r="O77" s="28"/>
      <c r="P77" s="28"/>
      <c r="Q77" s="29"/>
      <c r="R77" s="28"/>
      <c r="S77" s="28"/>
    </row>
    <row r="78" ht="29" customHeight="1" spans="1:19">
      <c r="A78" s="20">
        <v>77</v>
      </c>
      <c r="B78" s="21" t="s">
        <v>346</v>
      </c>
      <c r="C78" s="22" t="s">
        <v>133</v>
      </c>
      <c r="D78" s="22" t="s">
        <v>103</v>
      </c>
      <c r="E78" s="22" t="e">
        <f>VLOOKUP(C78,#REF!,3,0)</f>
        <v>#REF!</v>
      </c>
      <c r="F78" s="23">
        <v>45741</v>
      </c>
      <c r="G78" s="24">
        <f t="shared" si="2"/>
        <v>3</v>
      </c>
      <c r="H78" s="22" t="s">
        <v>347</v>
      </c>
      <c r="I78" s="25" t="s">
        <v>348</v>
      </c>
      <c r="J78" s="26" t="s">
        <v>66</v>
      </c>
      <c r="K78" s="24"/>
      <c r="L78" s="27" t="s">
        <v>107</v>
      </c>
      <c r="M78" s="27" t="s">
        <v>108</v>
      </c>
      <c r="N78" s="27"/>
      <c r="O78" s="28"/>
      <c r="P78" s="28"/>
      <c r="Q78" s="29"/>
      <c r="R78" s="28"/>
      <c r="S78" s="28"/>
    </row>
    <row r="79" ht="29" customHeight="1" spans="1:19">
      <c r="A79" s="20">
        <v>78</v>
      </c>
      <c r="B79" s="21" t="s">
        <v>349</v>
      </c>
      <c r="C79" s="22" t="s">
        <v>182</v>
      </c>
      <c r="D79" s="22" t="s">
        <v>183</v>
      </c>
      <c r="E79" s="22" t="e">
        <f>VLOOKUP(C79,#REF!,3,0)</f>
        <v>#REF!</v>
      </c>
      <c r="F79" s="23">
        <v>45742</v>
      </c>
      <c r="G79" s="24">
        <f t="shared" si="2"/>
        <v>3</v>
      </c>
      <c r="H79" s="22" t="s">
        <v>350</v>
      </c>
      <c r="I79" s="25" t="s">
        <v>351</v>
      </c>
      <c r="J79" s="26" t="s">
        <v>59</v>
      </c>
      <c r="K79" s="24"/>
      <c r="L79" s="27" t="s">
        <v>50</v>
      </c>
      <c r="M79" s="27" t="s">
        <v>60</v>
      </c>
      <c r="N79" s="27"/>
      <c r="O79" s="28"/>
      <c r="P79" s="28"/>
      <c r="Q79" s="29"/>
      <c r="R79" s="28"/>
      <c r="S79" s="28"/>
    </row>
    <row r="80" ht="29" customHeight="1" spans="1:19">
      <c r="A80" s="20">
        <v>79</v>
      </c>
      <c r="B80" s="21" t="s">
        <v>352</v>
      </c>
      <c r="C80" s="22" t="s">
        <v>62</v>
      </c>
      <c r="D80" s="22" t="s">
        <v>63</v>
      </c>
      <c r="E80" s="22" t="e">
        <f>VLOOKUP(C80,#REF!,3,0)</f>
        <v>#REF!</v>
      </c>
      <c r="F80" s="23">
        <v>45742</v>
      </c>
      <c r="G80" s="24">
        <f t="shared" si="2"/>
        <v>3</v>
      </c>
      <c r="H80" s="22" t="s">
        <v>353</v>
      </c>
      <c r="I80" s="25" t="s">
        <v>206</v>
      </c>
      <c r="J80" s="26" t="s">
        <v>66</v>
      </c>
      <c r="K80" s="24"/>
      <c r="L80" s="27" t="s">
        <v>50</v>
      </c>
      <c r="M80" s="27" t="s">
        <v>51</v>
      </c>
      <c r="N80" s="27"/>
      <c r="O80" s="28"/>
      <c r="P80" s="28"/>
      <c r="Q80" s="29"/>
      <c r="R80" s="28"/>
      <c r="S80" s="28"/>
    </row>
    <row r="81" ht="29" customHeight="1" spans="1:19">
      <c r="A81" s="20">
        <v>80</v>
      </c>
      <c r="B81" s="21" t="s">
        <v>354</v>
      </c>
      <c r="C81" s="22" t="s">
        <v>355</v>
      </c>
      <c r="D81" s="22" t="s">
        <v>227</v>
      </c>
      <c r="E81" s="22" t="e">
        <f>VLOOKUP(C81,#REF!,3,0)</f>
        <v>#REF!</v>
      </c>
      <c r="F81" s="23">
        <v>45743</v>
      </c>
      <c r="G81" s="24">
        <f t="shared" si="2"/>
        <v>3</v>
      </c>
      <c r="H81" s="22" t="s">
        <v>356</v>
      </c>
      <c r="I81" s="25" t="s">
        <v>357</v>
      </c>
      <c r="J81" s="26" t="s">
        <v>127</v>
      </c>
      <c r="K81" s="26"/>
      <c r="L81" s="27" t="s">
        <v>107</v>
      </c>
      <c r="M81" s="27" t="s">
        <v>108</v>
      </c>
      <c r="N81" s="27"/>
      <c r="O81" s="28"/>
      <c r="P81" s="28"/>
      <c r="Q81" s="29"/>
      <c r="R81" s="28"/>
      <c r="S81" s="28"/>
    </row>
    <row r="82" ht="29" customHeight="1" spans="1:19">
      <c r="A82" s="20">
        <v>81</v>
      </c>
      <c r="B82" s="21" t="s">
        <v>358</v>
      </c>
      <c r="C82" s="22" t="s">
        <v>73</v>
      </c>
      <c r="D82" s="22" t="s">
        <v>74</v>
      </c>
      <c r="E82" s="22" t="e">
        <f>VLOOKUP(C82,#REF!,3,0)</f>
        <v>#REF!</v>
      </c>
      <c r="F82" s="23">
        <v>45745</v>
      </c>
      <c r="G82" s="24">
        <f t="shared" si="2"/>
        <v>3</v>
      </c>
      <c r="H82" s="22" t="s">
        <v>359</v>
      </c>
      <c r="I82" s="25" t="s">
        <v>360</v>
      </c>
      <c r="J82" s="26" t="s">
        <v>158</v>
      </c>
      <c r="K82" s="24"/>
      <c r="L82" s="27" t="s">
        <v>50</v>
      </c>
      <c r="M82" s="27" t="s">
        <v>60</v>
      </c>
      <c r="N82" s="27"/>
      <c r="O82" s="28"/>
      <c r="P82" s="28"/>
      <c r="Q82" s="29"/>
      <c r="R82" s="28"/>
      <c r="S82" s="28"/>
    </row>
    <row r="83" ht="29" customHeight="1" spans="1:19">
      <c r="A83" s="20">
        <v>82</v>
      </c>
      <c r="B83" s="21" t="s">
        <v>361</v>
      </c>
      <c r="C83" s="22" t="s">
        <v>172</v>
      </c>
      <c r="D83" s="22" t="s">
        <v>155</v>
      </c>
      <c r="E83" s="22" t="e">
        <f>VLOOKUP(C83,#REF!,3,0)</f>
        <v>#REF!</v>
      </c>
      <c r="F83" s="23">
        <v>45747</v>
      </c>
      <c r="G83" s="24">
        <f t="shared" si="2"/>
        <v>3</v>
      </c>
      <c r="H83" s="22" t="s">
        <v>362</v>
      </c>
      <c r="I83" s="25" t="s">
        <v>363</v>
      </c>
      <c r="J83" s="26" t="s">
        <v>158</v>
      </c>
      <c r="K83" s="24"/>
      <c r="L83" s="27" t="s">
        <v>50</v>
      </c>
      <c r="M83" s="27" t="s">
        <v>60</v>
      </c>
      <c r="N83" s="27"/>
      <c r="O83" s="28"/>
      <c r="P83" s="28"/>
      <c r="Q83" s="29"/>
      <c r="R83" s="28"/>
      <c r="S83" s="28"/>
    </row>
    <row r="84" ht="29" customHeight="1" spans="1:19">
      <c r="A84" s="20">
        <v>83</v>
      </c>
      <c r="B84" s="21" t="s">
        <v>364</v>
      </c>
      <c r="C84" s="22" t="s">
        <v>197</v>
      </c>
      <c r="D84" s="22" t="s">
        <v>103</v>
      </c>
      <c r="E84" s="22" t="e">
        <f>VLOOKUP(C84,#REF!,3,0)</f>
        <v>#REF!</v>
      </c>
      <c r="F84" s="23">
        <v>45747</v>
      </c>
      <c r="G84" s="24">
        <f t="shared" si="2"/>
        <v>3</v>
      </c>
      <c r="H84" s="22" t="s">
        <v>365</v>
      </c>
      <c r="I84" s="25" t="s">
        <v>366</v>
      </c>
      <c r="J84" s="26" t="s">
        <v>170</v>
      </c>
      <c r="K84" s="24"/>
      <c r="L84" s="27" t="s">
        <v>107</v>
      </c>
      <c r="M84" s="27" t="s">
        <v>108</v>
      </c>
      <c r="N84" s="27"/>
      <c r="O84" s="28"/>
      <c r="P84" s="28"/>
      <c r="Q84" s="29"/>
      <c r="R84" s="28"/>
      <c r="S84" s="28"/>
    </row>
    <row r="85" ht="29" customHeight="1" spans="1:19">
      <c r="A85" s="20">
        <v>84</v>
      </c>
      <c r="B85" s="21" t="s">
        <v>367</v>
      </c>
      <c r="C85" s="22" t="s">
        <v>368</v>
      </c>
      <c r="D85" s="22" t="s">
        <v>95</v>
      </c>
      <c r="E85" s="22" t="e">
        <f>VLOOKUP(C85,#REF!,3,0)</f>
        <v>#REF!</v>
      </c>
      <c r="F85" s="23">
        <v>45748</v>
      </c>
      <c r="G85" s="24">
        <f t="shared" si="2"/>
        <v>4</v>
      </c>
      <c r="H85" s="22" t="s">
        <v>369</v>
      </c>
      <c r="I85" s="25" t="s">
        <v>370</v>
      </c>
      <c r="J85" s="26" t="s">
        <v>66</v>
      </c>
      <c r="K85" s="24"/>
      <c r="L85" s="27" t="s">
        <v>50</v>
      </c>
      <c r="M85" s="27" t="s">
        <v>51</v>
      </c>
      <c r="N85" s="27"/>
      <c r="O85" s="28" t="s">
        <v>53</v>
      </c>
      <c r="P85" s="28" t="s">
        <v>52</v>
      </c>
      <c r="Q85" s="29"/>
      <c r="R85" s="28"/>
      <c r="S85" s="28"/>
    </row>
    <row r="86" ht="29" customHeight="1" spans="1:19">
      <c r="A86" s="20">
        <v>85</v>
      </c>
      <c r="B86" s="21" t="s">
        <v>371</v>
      </c>
      <c r="C86" s="22" t="s">
        <v>372</v>
      </c>
      <c r="D86" s="22" t="s">
        <v>373</v>
      </c>
      <c r="E86" s="22" t="e">
        <f>VLOOKUP(C86,#REF!,3,0)</f>
        <v>#REF!</v>
      </c>
      <c r="F86" s="23">
        <v>45748</v>
      </c>
      <c r="G86" s="24">
        <f t="shared" si="2"/>
        <v>4</v>
      </c>
      <c r="H86" s="22" t="s">
        <v>374</v>
      </c>
      <c r="I86" s="25" t="s">
        <v>375</v>
      </c>
      <c r="J86" s="26" t="s">
        <v>127</v>
      </c>
      <c r="K86" s="24"/>
      <c r="L86" s="27" t="s">
        <v>50</v>
      </c>
      <c r="M86" s="27" t="s">
        <v>51</v>
      </c>
      <c r="N86" s="27"/>
      <c r="O86" s="28" t="s">
        <v>53</v>
      </c>
      <c r="P86" s="28" t="s">
        <v>52</v>
      </c>
      <c r="Q86" s="29"/>
      <c r="R86" s="28"/>
      <c r="S86" s="28"/>
    </row>
    <row r="87" ht="29" customHeight="1" spans="1:19">
      <c r="A87" s="20">
        <v>86</v>
      </c>
      <c r="B87" s="21" t="s">
        <v>376</v>
      </c>
      <c r="C87" s="22" t="s">
        <v>236</v>
      </c>
      <c r="D87" s="22" t="s">
        <v>237</v>
      </c>
      <c r="E87" s="22" t="e">
        <f>VLOOKUP(C87,#REF!,3,0)</f>
        <v>#REF!</v>
      </c>
      <c r="F87" s="23">
        <v>45750</v>
      </c>
      <c r="G87" s="24">
        <f t="shared" si="2"/>
        <v>4</v>
      </c>
      <c r="H87" s="22" t="s">
        <v>377</v>
      </c>
      <c r="I87" s="25" t="s">
        <v>378</v>
      </c>
      <c r="J87" s="26" t="s">
        <v>66</v>
      </c>
      <c r="K87" s="24"/>
      <c r="L87" s="27" t="s">
        <v>107</v>
      </c>
      <c r="M87" s="27" t="s">
        <v>108</v>
      </c>
      <c r="N87" s="27"/>
      <c r="O87" s="28" t="s">
        <v>52</v>
      </c>
      <c r="P87" s="28" t="s">
        <v>52</v>
      </c>
      <c r="Q87" s="29"/>
      <c r="R87" s="28"/>
      <c r="S87" s="28"/>
    </row>
    <row r="88" ht="29" customHeight="1" spans="1:19">
      <c r="A88" s="20">
        <v>87</v>
      </c>
      <c r="B88" s="21" t="s">
        <v>379</v>
      </c>
      <c r="C88" s="22" t="s">
        <v>380</v>
      </c>
      <c r="D88" s="22" t="s">
        <v>155</v>
      </c>
      <c r="E88" s="22" t="e">
        <f>VLOOKUP(C88,#REF!,3,0)</f>
        <v>#REF!</v>
      </c>
      <c r="F88" s="23">
        <v>45751</v>
      </c>
      <c r="G88" s="24">
        <f t="shared" si="2"/>
        <v>4</v>
      </c>
      <c r="H88" s="22" t="s">
        <v>381</v>
      </c>
      <c r="I88" s="25" t="s">
        <v>382</v>
      </c>
      <c r="J88" s="26" t="s">
        <v>66</v>
      </c>
      <c r="K88" s="24"/>
      <c r="L88" s="27" t="s">
        <v>107</v>
      </c>
      <c r="M88" s="27" t="s">
        <v>108</v>
      </c>
      <c r="N88" s="27"/>
      <c r="O88" s="28" t="s">
        <v>53</v>
      </c>
      <c r="P88" s="28" t="s">
        <v>52</v>
      </c>
      <c r="Q88" s="29"/>
      <c r="R88" s="28"/>
      <c r="S88" s="28"/>
    </row>
    <row r="89" ht="29" customHeight="1" spans="1:19">
      <c r="A89" s="20">
        <v>88</v>
      </c>
      <c r="B89" s="21" t="s">
        <v>383</v>
      </c>
      <c r="C89" s="22" t="s">
        <v>302</v>
      </c>
      <c r="D89" s="22" t="s">
        <v>124</v>
      </c>
      <c r="E89" s="22" t="e">
        <f>VLOOKUP(C89,#REF!,3,0)</f>
        <v>#REF!</v>
      </c>
      <c r="F89" s="23">
        <v>45754</v>
      </c>
      <c r="G89" s="24">
        <f t="shared" si="2"/>
        <v>4</v>
      </c>
      <c r="H89" s="32" t="s">
        <v>384</v>
      </c>
      <c r="I89" s="25" t="s">
        <v>385</v>
      </c>
      <c r="J89" s="26" t="s">
        <v>66</v>
      </c>
      <c r="K89" s="24"/>
      <c r="L89" s="27" t="s">
        <v>50</v>
      </c>
      <c r="M89" s="27" t="s">
        <v>51</v>
      </c>
      <c r="N89" s="27"/>
      <c r="O89" s="28" t="s">
        <v>53</v>
      </c>
      <c r="P89" s="28" t="s">
        <v>52</v>
      </c>
      <c r="Q89" s="29"/>
      <c r="R89" s="28"/>
      <c r="S89" s="28"/>
    </row>
    <row r="90" ht="29" customHeight="1" spans="1:19">
      <c r="A90" s="20">
        <v>89</v>
      </c>
      <c r="B90" s="21" t="s">
        <v>386</v>
      </c>
      <c r="C90" s="22" t="s">
        <v>387</v>
      </c>
      <c r="D90" s="22" t="s">
        <v>90</v>
      </c>
      <c r="E90" s="22" t="e">
        <f>VLOOKUP(C90,#REF!,3,0)</f>
        <v>#REF!</v>
      </c>
      <c r="F90" s="23">
        <v>45762</v>
      </c>
      <c r="G90" s="24">
        <f t="shared" si="2"/>
        <v>4</v>
      </c>
      <c r="H90" s="22" t="s">
        <v>388</v>
      </c>
      <c r="I90" s="25" t="s">
        <v>389</v>
      </c>
      <c r="J90" s="26" t="s">
        <v>59</v>
      </c>
      <c r="K90" s="24"/>
      <c r="L90" s="27" t="s">
        <v>50</v>
      </c>
      <c r="M90" s="27" t="s">
        <v>60</v>
      </c>
      <c r="N90" s="27"/>
      <c r="O90" s="28" t="s">
        <v>52</v>
      </c>
      <c r="P90" s="28" t="s">
        <v>52</v>
      </c>
      <c r="Q90" s="29"/>
      <c r="R90" s="28"/>
      <c r="S90" s="28"/>
    </row>
    <row r="91" ht="29" customHeight="1" spans="1:19">
      <c r="A91" s="20">
        <v>90</v>
      </c>
      <c r="B91" s="21" t="s">
        <v>390</v>
      </c>
      <c r="C91" s="22" t="s">
        <v>380</v>
      </c>
      <c r="D91" s="22" t="s">
        <v>155</v>
      </c>
      <c r="E91" s="22" t="e">
        <f>VLOOKUP(C91,#REF!,3,0)</f>
        <v>#REF!</v>
      </c>
      <c r="F91" s="23">
        <v>45762</v>
      </c>
      <c r="G91" s="24">
        <f t="shared" si="2"/>
        <v>4</v>
      </c>
      <c r="H91" s="22" t="s">
        <v>391</v>
      </c>
      <c r="I91" s="25" t="s">
        <v>392</v>
      </c>
      <c r="J91" s="26" t="s">
        <v>59</v>
      </c>
      <c r="K91" s="24"/>
      <c r="L91" s="27" t="s">
        <v>50</v>
      </c>
      <c r="M91" s="27" t="s">
        <v>60</v>
      </c>
      <c r="N91" s="27"/>
      <c r="O91" s="28" t="s">
        <v>52</v>
      </c>
      <c r="P91" s="28" t="s">
        <v>52</v>
      </c>
      <c r="Q91" s="29"/>
      <c r="R91" s="28"/>
      <c r="S91" s="28"/>
    </row>
    <row r="92" ht="29" customHeight="1" spans="1:19">
      <c r="A92" s="20">
        <v>91</v>
      </c>
      <c r="B92" s="21" t="s">
        <v>393</v>
      </c>
      <c r="C92" s="22" t="s">
        <v>89</v>
      </c>
      <c r="D92" s="22" t="s">
        <v>90</v>
      </c>
      <c r="E92" s="22" t="e">
        <f>VLOOKUP(C92,#REF!,3,0)</f>
        <v>#REF!</v>
      </c>
      <c r="F92" s="23">
        <v>45765</v>
      </c>
      <c r="G92" s="24">
        <f t="shared" si="2"/>
        <v>4</v>
      </c>
      <c r="H92" s="22" t="s">
        <v>394</v>
      </c>
      <c r="I92" s="25" t="s">
        <v>395</v>
      </c>
      <c r="J92" s="26" t="s">
        <v>170</v>
      </c>
      <c r="K92" s="24"/>
      <c r="L92" s="27" t="s">
        <v>50</v>
      </c>
      <c r="M92" s="27" t="s">
        <v>51</v>
      </c>
      <c r="N92" s="27"/>
      <c r="O92" s="28" t="s">
        <v>53</v>
      </c>
      <c r="P92" s="28" t="s">
        <v>52</v>
      </c>
      <c r="Q92" s="29"/>
      <c r="R92" s="28"/>
      <c r="S92" s="28"/>
    </row>
    <row r="93" ht="29" customHeight="1" spans="1:19">
      <c r="A93" s="20">
        <v>92</v>
      </c>
      <c r="B93" s="21" t="s">
        <v>396</v>
      </c>
      <c r="C93" s="22" t="s">
        <v>197</v>
      </c>
      <c r="D93" s="22" t="s">
        <v>103</v>
      </c>
      <c r="E93" s="22" t="e">
        <f>VLOOKUP(C93,#REF!,3,0)</f>
        <v>#REF!</v>
      </c>
      <c r="F93" s="23">
        <v>45766</v>
      </c>
      <c r="G93" s="24">
        <f t="shared" si="2"/>
        <v>4</v>
      </c>
      <c r="H93" s="22" t="s">
        <v>397</v>
      </c>
      <c r="I93" s="25" t="s">
        <v>398</v>
      </c>
      <c r="J93" s="26" t="s">
        <v>66</v>
      </c>
      <c r="K93" s="24"/>
      <c r="L93" s="27" t="s">
        <v>50</v>
      </c>
      <c r="M93" s="27" t="s">
        <v>60</v>
      </c>
      <c r="N93" s="27"/>
      <c r="O93" s="28" t="s">
        <v>52</v>
      </c>
      <c r="P93" s="28" t="s">
        <v>52</v>
      </c>
      <c r="Q93" s="29"/>
      <c r="R93" s="28"/>
      <c r="S93" s="28"/>
    </row>
    <row r="94" ht="29" customHeight="1" spans="1:19">
      <c r="A94" s="20">
        <v>93</v>
      </c>
      <c r="B94" s="21" t="s">
        <v>399</v>
      </c>
      <c r="C94" s="22" t="s">
        <v>140</v>
      </c>
      <c r="D94" s="22" t="s">
        <v>124</v>
      </c>
      <c r="E94" s="22" t="e">
        <f>VLOOKUP(C94,#REF!,3,0)</f>
        <v>#REF!</v>
      </c>
      <c r="F94" s="23">
        <v>45766</v>
      </c>
      <c r="G94" s="24">
        <f t="shared" si="2"/>
        <v>4</v>
      </c>
      <c r="H94" s="22" t="s">
        <v>400</v>
      </c>
      <c r="I94" s="25" t="s">
        <v>401</v>
      </c>
      <c r="J94" s="26" t="s">
        <v>66</v>
      </c>
      <c r="K94" s="24"/>
      <c r="L94" s="27" t="s">
        <v>50</v>
      </c>
      <c r="M94" s="27" t="s">
        <v>60</v>
      </c>
      <c r="N94" s="27"/>
      <c r="O94" s="28" t="s">
        <v>52</v>
      </c>
      <c r="P94" s="28" t="s">
        <v>52</v>
      </c>
      <c r="Q94" s="29"/>
      <c r="R94" s="28"/>
      <c r="S94" s="28"/>
    </row>
    <row r="95" ht="29" customHeight="1" spans="1:19">
      <c r="A95" s="20">
        <v>94</v>
      </c>
      <c r="B95" s="21" t="s">
        <v>402</v>
      </c>
      <c r="C95" s="22" t="s">
        <v>273</v>
      </c>
      <c r="D95" s="22" t="s">
        <v>274</v>
      </c>
      <c r="E95" s="22" t="e">
        <f>VLOOKUP(C95,#REF!,3,0)</f>
        <v>#REF!</v>
      </c>
      <c r="F95" s="23">
        <v>45767</v>
      </c>
      <c r="G95" s="24">
        <f t="shared" si="2"/>
        <v>4</v>
      </c>
      <c r="H95" s="22" t="s">
        <v>403</v>
      </c>
      <c r="I95" s="25" t="s">
        <v>404</v>
      </c>
      <c r="J95" s="26" t="s">
        <v>66</v>
      </c>
      <c r="K95" s="24"/>
      <c r="L95" s="27" t="s">
        <v>50</v>
      </c>
      <c r="M95" s="27" t="s">
        <v>51</v>
      </c>
      <c r="N95" s="27"/>
      <c r="O95" s="28" t="s">
        <v>53</v>
      </c>
      <c r="P95" s="28" t="s">
        <v>52</v>
      </c>
      <c r="Q95" s="29"/>
      <c r="R95" s="28"/>
      <c r="S95" s="28"/>
    </row>
    <row r="96" ht="29" customHeight="1" spans="1:19">
      <c r="A96" s="20">
        <v>95</v>
      </c>
      <c r="B96" s="21" t="s">
        <v>405</v>
      </c>
      <c r="C96" s="22" t="s">
        <v>292</v>
      </c>
      <c r="D96" s="22" t="s">
        <v>46</v>
      </c>
      <c r="E96" s="22" t="e">
        <f>VLOOKUP(C96,#REF!,3,0)</f>
        <v>#REF!</v>
      </c>
      <c r="F96" s="23">
        <v>45768</v>
      </c>
      <c r="G96" s="24">
        <f t="shared" si="2"/>
        <v>4</v>
      </c>
      <c r="H96" s="22" t="s">
        <v>406</v>
      </c>
      <c r="I96" s="25" t="s">
        <v>407</v>
      </c>
      <c r="J96" s="26" t="s">
        <v>158</v>
      </c>
      <c r="K96" s="24"/>
      <c r="L96" s="27" t="s">
        <v>50</v>
      </c>
      <c r="M96" s="27" t="s">
        <v>60</v>
      </c>
      <c r="N96" s="27"/>
      <c r="O96" s="28" t="s">
        <v>52</v>
      </c>
      <c r="P96" s="28" t="s">
        <v>52</v>
      </c>
      <c r="Q96" s="29"/>
      <c r="R96" s="28"/>
      <c r="S96" s="28"/>
    </row>
    <row r="97" ht="29" customHeight="1" spans="1:19">
      <c r="A97" s="20">
        <v>96</v>
      </c>
      <c r="B97" s="21" t="s">
        <v>408</v>
      </c>
      <c r="C97" s="22" t="s">
        <v>288</v>
      </c>
      <c r="D97" s="22" t="s">
        <v>274</v>
      </c>
      <c r="E97" s="22" t="e">
        <f>VLOOKUP(C97,#REF!,3,0)</f>
        <v>#REF!</v>
      </c>
      <c r="F97" s="23">
        <v>45770</v>
      </c>
      <c r="G97" s="24">
        <f t="shared" si="2"/>
        <v>4</v>
      </c>
      <c r="H97" s="22" t="s">
        <v>409</v>
      </c>
      <c r="I97" s="25" t="s">
        <v>410</v>
      </c>
      <c r="J97" s="26" t="s">
        <v>127</v>
      </c>
      <c r="K97" s="24"/>
      <c r="L97" s="27" t="s">
        <v>107</v>
      </c>
      <c r="M97" s="27" t="s">
        <v>108</v>
      </c>
      <c r="N97" s="27"/>
      <c r="O97" s="28" t="s">
        <v>53</v>
      </c>
      <c r="P97" s="28" t="s">
        <v>52</v>
      </c>
      <c r="Q97" s="29"/>
      <c r="R97" s="28"/>
      <c r="S97" s="28"/>
    </row>
    <row r="98" ht="29" customHeight="1" spans="1:19">
      <c r="A98" s="20">
        <v>97</v>
      </c>
      <c r="B98" s="21" t="s">
        <v>411</v>
      </c>
      <c r="C98" s="22" t="s">
        <v>182</v>
      </c>
      <c r="D98" s="22" t="s">
        <v>183</v>
      </c>
      <c r="E98" s="22" t="e">
        <f>VLOOKUP(C98,#REF!,3,0)</f>
        <v>#REF!</v>
      </c>
      <c r="F98" s="23">
        <v>45770</v>
      </c>
      <c r="G98" s="24">
        <f t="shared" si="2"/>
        <v>4</v>
      </c>
      <c r="H98" s="22" t="s">
        <v>412</v>
      </c>
      <c r="I98" s="25" t="s">
        <v>413</v>
      </c>
      <c r="J98" s="26" t="s">
        <v>49</v>
      </c>
      <c r="K98" s="24"/>
      <c r="L98" s="27" t="s">
        <v>50</v>
      </c>
      <c r="M98" s="27" t="s">
        <v>60</v>
      </c>
      <c r="N98" s="27"/>
      <c r="O98" s="28" t="s">
        <v>52</v>
      </c>
      <c r="P98" s="28" t="s">
        <v>52</v>
      </c>
      <c r="Q98" s="29"/>
      <c r="R98" s="28"/>
      <c r="S98" s="28"/>
    </row>
    <row r="99" ht="29" customHeight="1" spans="1:19">
      <c r="A99" s="20">
        <v>98</v>
      </c>
      <c r="B99" s="21" t="s">
        <v>414</v>
      </c>
      <c r="C99" s="22" t="s">
        <v>415</v>
      </c>
      <c r="D99" s="22" t="s">
        <v>416</v>
      </c>
      <c r="E99" s="22" t="e">
        <f>VLOOKUP(C99,#REF!,3,0)</f>
        <v>#REF!</v>
      </c>
      <c r="F99" s="23">
        <v>45771</v>
      </c>
      <c r="G99" s="24">
        <f t="shared" si="2"/>
        <v>4</v>
      </c>
      <c r="H99" s="22" t="s">
        <v>417</v>
      </c>
      <c r="I99" s="25" t="s">
        <v>418</v>
      </c>
      <c r="J99" s="26" t="s">
        <v>66</v>
      </c>
      <c r="K99" s="24"/>
      <c r="L99" s="27" t="s">
        <v>50</v>
      </c>
      <c r="M99" s="27" t="s">
        <v>51</v>
      </c>
      <c r="N99" s="27"/>
      <c r="O99" s="28" t="s">
        <v>53</v>
      </c>
      <c r="P99" s="28" t="s">
        <v>52</v>
      </c>
      <c r="Q99" s="29"/>
      <c r="R99" s="28"/>
      <c r="S99" s="28"/>
    </row>
    <row r="100" ht="29" customHeight="1" spans="1:19">
      <c r="A100" s="20">
        <v>99</v>
      </c>
      <c r="B100" s="21" t="s">
        <v>419</v>
      </c>
      <c r="C100" s="22" t="s">
        <v>73</v>
      </c>
      <c r="D100" s="22" t="s">
        <v>74</v>
      </c>
      <c r="E100" s="22" t="e">
        <f>VLOOKUP(C100,#REF!,3,0)</f>
        <v>#REF!</v>
      </c>
      <c r="F100" s="23">
        <v>45771</v>
      </c>
      <c r="G100" s="24">
        <f t="shared" si="2"/>
        <v>4</v>
      </c>
      <c r="H100" s="22" t="s">
        <v>420</v>
      </c>
      <c r="I100" s="25" t="s">
        <v>421</v>
      </c>
      <c r="J100" s="26" t="s">
        <v>106</v>
      </c>
      <c r="K100" s="24"/>
      <c r="L100" s="27" t="s">
        <v>107</v>
      </c>
      <c r="M100" s="27" t="s">
        <v>108</v>
      </c>
      <c r="N100" s="27"/>
      <c r="O100" s="28" t="s">
        <v>53</v>
      </c>
      <c r="P100" s="28" t="s">
        <v>53</v>
      </c>
      <c r="Q100" s="29"/>
      <c r="R100" s="28"/>
      <c r="S100" s="28"/>
    </row>
    <row r="101" ht="29" customHeight="1" spans="1:19">
      <c r="A101" s="20">
        <v>100</v>
      </c>
      <c r="B101" s="21" t="s">
        <v>422</v>
      </c>
      <c r="C101" s="22" t="s">
        <v>110</v>
      </c>
      <c r="D101" s="22" t="s">
        <v>80</v>
      </c>
      <c r="E101" s="22" t="e">
        <f>VLOOKUP(C101,#REF!,3,0)</f>
        <v>#REF!</v>
      </c>
      <c r="F101" s="23">
        <v>45774</v>
      </c>
      <c r="G101" s="24">
        <f t="shared" si="2"/>
        <v>4</v>
      </c>
      <c r="H101" s="22" t="s">
        <v>423</v>
      </c>
      <c r="I101" s="33" t="s">
        <v>424</v>
      </c>
      <c r="J101" s="26" t="s">
        <v>66</v>
      </c>
      <c r="K101" s="24"/>
      <c r="L101" s="27" t="s">
        <v>50</v>
      </c>
      <c r="M101" s="27" t="s">
        <v>51</v>
      </c>
      <c r="N101" s="27"/>
      <c r="O101" s="28" t="s">
        <v>53</v>
      </c>
      <c r="P101" s="28" t="s">
        <v>52</v>
      </c>
      <c r="Q101" s="29"/>
      <c r="R101" s="28"/>
      <c r="S101" s="28"/>
    </row>
    <row r="102" ht="29" customHeight="1" spans="1:19">
      <c r="A102" s="20">
        <v>101</v>
      </c>
      <c r="B102" s="21" t="s">
        <v>425</v>
      </c>
      <c r="C102" s="22" t="s">
        <v>110</v>
      </c>
      <c r="D102" s="22" t="s">
        <v>80</v>
      </c>
      <c r="E102" s="22" t="e">
        <f>VLOOKUP(C102,#REF!,3,0)</f>
        <v>#REF!</v>
      </c>
      <c r="F102" s="23">
        <v>45776</v>
      </c>
      <c r="G102" s="24">
        <f t="shared" si="2"/>
        <v>4</v>
      </c>
      <c r="H102" s="22" t="s">
        <v>426</v>
      </c>
      <c r="I102" s="25" t="s">
        <v>427</v>
      </c>
      <c r="J102" s="26" t="s">
        <v>77</v>
      </c>
      <c r="K102" s="24"/>
      <c r="L102" s="27" t="s">
        <v>50</v>
      </c>
      <c r="M102" s="27" t="s">
        <v>51</v>
      </c>
      <c r="N102" s="27"/>
      <c r="O102" s="28" t="s">
        <v>53</v>
      </c>
      <c r="P102" s="28" t="s">
        <v>52</v>
      </c>
      <c r="Q102" s="29"/>
      <c r="R102" s="28"/>
      <c r="S102" s="28"/>
    </row>
    <row r="103" ht="29" customHeight="1" spans="1:19">
      <c r="A103" s="20">
        <v>102</v>
      </c>
      <c r="B103" s="21" t="s">
        <v>428</v>
      </c>
      <c r="C103" s="22" t="s">
        <v>193</v>
      </c>
      <c r="D103" s="22" t="s">
        <v>124</v>
      </c>
      <c r="E103" s="22" t="e">
        <f>VLOOKUP(C103,#REF!,3,0)</f>
        <v>#REF!</v>
      </c>
      <c r="F103" s="23">
        <v>45778</v>
      </c>
      <c r="G103" s="24">
        <f t="shared" si="2"/>
        <v>5</v>
      </c>
      <c r="H103" s="22" t="s">
        <v>429</v>
      </c>
      <c r="I103" s="25" t="s">
        <v>430</v>
      </c>
      <c r="J103" s="26" t="s">
        <v>127</v>
      </c>
      <c r="K103" s="24"/>
      <c r="L103" s="27" t="s">
        <v>107</v>
      </c>
      <c r="M103" s="27" t="s">
        <v>108</v>
      </c>
      <c r="N103" s="27"/>
      <c r="O103" s="28" t="s">
        <v>53</v>
      </c>
      <c r="P103" s="28" t="s">
        <v>52</v>
      </c>
      <c r="Q103" s="29"/>
      <c r="R103" s="28"/>
      <c r="S103" s="28"/>
    </row>
    <row r="104" ht="29" customHeight="1" spans="1:19">
      <c r="A104" s="20">
        <v>103</v>
      </c>
      <c r="B104" s="21" t="s">
        <v>431</v>
      </c>
      <c r="C104" s="22" t="s">
        <v>193</v>
      </c>
      <c r="D104" s="22" t="s">
        <v>124</v>
      </c>
      <c r="E104" s="22" t="e">
        <f>VLOOKUP(C104,#REF!,3,0)</f>
        <v>#REF!</v>
      </c>
      <c r="F104" s="23">
        <v>45778</v>
      </c>
      <c r="G104" s="24">
        <f t="shared" si="2"/>
        <v>5</v>
      </c>
      <c r="H104" s="22" t="s">
        <v>432</v>
      </c>
      <c r="I104" s="25" t="s">
        <v>433</v>
      </c>
      <c r="J104" s="26" t="s">
        <v>127</v>
      </c>
      <c r="K104" s="24"/>
      <c r="L104" s="27" t="s">
        <v>107</v>
      </c>
      <c r="M104" s="27" t="s">
        <v>108</v>
      </c>
      <c r="N104" s="27"/>
      <c r="O104" s="28" t="s">
        <v>53</v>
      </c>
      <c r="P104" s="28" t="s">
        <v>52</v>
      </c>
      <c r="Q104" s="29"/>
      <c r="R104" s="28"/>
      <c r="S104" s="28"/>
    </row>
    <row r="105" ht="29" customHeight="1" spans="1:19">
      <c r="A105" s="20">
        <v>104</v>
      </c>
      <c r="B105" s="21" t="s">
        <v>434</v>
      </c>
      <c r="C105" s="22" t="s">
        <v>435</v>
      </c>
      <c r="D105" s="22" t="s">
        <v>63</v>
      </c>
      <c r="E105" s="22" t="e">
        <f>VLOOKUP(C105,#REF!,3,0)</f>
        <v>#REF!</v>
      </c>
      <c r="F105" s="23">
        <v>45779</v>
      </c>
      <c r="G105" s="24">
        <f t="shared" si="2"/>
        <v>5</v>
      </c>
      <c r="H105" s="22" t="s">
        <v>436</v>
      </c>
      <c r="I105" s="25" t="s">
        <v>437</v>
      </c>
      <c r="J105" s="26" t="s">
        <v>158</v>
      </c>
      <c r="K105" s="24"/>
      <c r="L105" s="27" t="s">
        <v>50</v>
      </c>
      <c r="M105" s="27" t="s">
        <v>60</v>
      </c>
      <c r="N105" s="27"/>
      <c r="O105" s="28" t="s">
        <v>52</v>
      </c>
      <c r="P105" s="28" t="s">
        <v>52</v>
      </c>
      <c r="Q105" s="29"/>
      <c r="R105" s="28"/>
      <c r="S105" s="28"/>
    </row>
    <row r="106" ht="29" customHeight="1" spans="1:19">
      <c r="A106" s="20">
        <v>105</v>
      </c>
      <c r="B106" s="21" t="s">
        <v>438</v>
      </c>
      <c r="C106" s="22" t="s">
        <v>273</v>
      </c>
      <c r="D106" s="22" t="s">
        <v>274</v>
      </c>
      <c r="E106" s="22" t="e">
        <f>VLOOKUP(C106,#REF!,3,0)</f>
        <v>#REF!</v>
      </c>
      <c r="F106" s="23">
        <v>45781</v>
      </c>
      <c r="G106" s="24">
        <f t="shared" si="2"/>
        <v>5</v>
      </c>
      <c r="H106" s="22" t="s">
        <v>439</v>
      </c>
      <c r="I106" s="25" t="s">
        <v>440</v>
      </c>
      <c r="J106" s="26" t="s">
        <v>127</v>
      </c>
      <c r="K106" s="24"/>
      <c r="L106" s="27" t="s">
        <v>50</v>
      </c>
      <c r="M106" s="27" t="s">
        <v>60</v>
      </c>
      <c r="N106" s="27"/>
      <c r="O106" s="28" t="s">
        <v>52</v>
      </c>
      <c r="P106" s="28" t="s">
        <v>52</v>
      </c>
      <c r="Q106" s="29"/>
      <c r="R106" s="28"/>
      <c r="S106" s="28"/>
    </row>
    <row r="107" ht="29" customHeight="1" spans="1:19">
      <c r="A107" s="20">
        <v>106</v>
      </c>
      <c r="B107" s="21" t="s">
        <v>441</v>
      </c>
      <c r="C107" s="22" t="s">
        <v>154</v>
      </c>
      <c r="D107" s="22" t="s">
        <v>155</v>
      </c>
      <c r="E107" s="22" t="e">
        <f>VLOOKUP(C107,#REF!,3,0)</f>
        <v>#REF!</v>
      </c>
      <c r="F107" s="23">
        <v>45781</v>
      </c>
      <c r="G107" s="24">
        <f t="shared" si="2"/>
        <v>5</v>
      </c>
      <c r="H107" s="22" t="s">
        <v>442</v>
      </c>
      <c r="I107" s="25" t="s">
        <v>443</v>
      </c>
      <c r="J107" s="26" t="s">
        <v>59</v>
      </c>
      <c r="K107" s="24"/>
      <c r="L107" s="27" t="s">
        <v>50</v>
      </c>
      <c r="M107" s="27" t="s">
        <v>60</v>
      </c>
      <c r="N107" s="27"/>
      <c r="O107" s="28" t="s">
        <v>52</v>
      </c>
      <c r="P107" s="28" t="s">
        <v>52</v>
      </c>
      <c r="Q107" s="29"/>
      <c r="R107" s="28"/>
      <c r="S107" s="28"/>
    </row>
    <row r="108" ht="29" customHeight="1" spans="1:19">
      <c r="A108" s="20">
        <v>107</v>
      </c>
      <c r="B108" s="21" t="s">
        <v>444</v>
      </c>
      <c r="C108" s="22" t="s">
        <v>435</v>
      </c>
      <c r="D108" s="22" t="s">
        <v>63</v>
      </c>
      <c r="E108" s="22" t="e">
        <f>VLOOKUP(C108,#REF!,3,0)</f>
        <v>#REF!</v>
      </c>
      <c r="F108" s="23">
        <v>45783</v>
      </c>
      <c r="G108" s="24">
        <f t="shared" si="2"/>
        <v>5</v>
      </c>
      <c r="H108" s="22" t="s">
        <v>445</v>
      </c>
      <c r="I108" s="25" t="s">
        <v>446</v>
      </c>
      <c r="J108" s="26" t="s">
        <v>106</v>
      </c>
      <c r="K108" s="24"/>
      <c r="L108" s="27" t="s">
        <v>107</v>
      </c>
      <c r="M108" s="27" t="s">
        <v>108</v>
      </c>
      <c r="N108" s="27"/>
      <c r="O108" s="28" t="s">
        <v>53</v>
      </c>
      <c r="P108" s="28" t="s">
        <v>52</v>
      </c>
      <c r="Q108" s="29"/>
      <c r="R108" s="28"/>
      <c r="S108" s="28"/>
    </row>
    <row r="109" ht="29" customHeight="1" spans="1:19">
      <c r="A109" s="20">
        <v>108</v>
      </c>
      <c r="B109" s="21" t="s">
        <v>447</v>
      </c>
      <c r="C109" s="22" t="s">
        <v>45</v>
      </c>
      <c r="D109" s="22" t="s">
        <v>46</v>
      </c>
      <c r="E109" s="22" t="e">
        <f>VLOOKUP(C109,#REF!,3,0)</f>
        <v>#REF!</v>
      </c>
      <c r="F109" s="23">
        <v>45788</v>
      </c>
      <c r="G109" s="24">
        <f t="shared" si="2"/>
        <v>5</v>
      </c>
      <c r="H109" s="22" t="s">
        <v>448</v>
      </c>
      <c r="I109" s="25" t="s">
        <v>449</v>
      </c>
      <c r="J109" s="26" t="s">
        <v>66</v>
      </c>
      <c r="K109" s="24"/>
      <c r="L109" s="27" t="s">
        <v>50</v>
      </c>
      <c r="M109" s="27" t="s">
        <v>51</v>
      </c>
      <c r="N109" s="27"/>
      <c r="O109" s="28" t="s">
        <v>53</v>
      </c>
      <c r="P109" s="28" t="s">
        <v>52</v>
      </c>
      <c r="Q109" s="29"/>
      <c r="R109" s="28"/>
      <c r="S109" s="28"/>
    </row>
    <row r="110" ht="29" customHeight="1" spans="1:19">
      <c r="A110" s="20">
        <v>109</v>
      </c>
      <c r="B110" s="21" t="s">
        <v>450</v>
      </c>
      <c r="C110" s="22" t="s">
        <v>79</v>
      </c>
      <c r="D110" s="22" t="s">
        <v>80</v>
      </c>
      <c r="E110" s="22" t="e">
        <f>VLOOKUP(C110,#REF!,3,0)</f>
        <v>#REF!</v>
      </c>
      <c r="F110" s="23">
        <v>45788</v>
      </c>
      <c r="G110" s="24">
        <f t="shared" si="2"/>
        <v>5</v>
      </c>
      <c r="H110" s="22" t="s">
        <v>451</v>
      </c>
      <c r="I110" s="25" t="s">
        <v>452</v>
      </c>
      <c r="J110" s="26" t="s">
        <v>66</v>
      </c>
      <c r="K110" s="24"/>
      <c r="L110" s="27" t="s">
        <v>50</v>
      </c>
      <c r="M110" s="27" t="s">
        <v>51</v>
      </c>
      <c r="N110" s="27"/>
      <c r="O110" s="28" t="s">
        <v>53</v>
      </c>
      <c r="P110" s="28" t="s">
        <v>52</v>
      </c>
      <c r="Q110" s="29"/>
      <c r="R110" s="28"/>
      <c r="S110" s="28"/>
    </row>
    <row r="111" ht="29" customHeight="1" spans="1:19">
      <c r="A111" s="20">
        <v>110</v>
      </c>
      <c r="B111" s="21" t="s">
        <v>453</v>
      </c>
      <c r="C111" s="22" t="s">
        <v>45</v>
      </c>
      <c r="D111" s="22" t="s">
        <v>46</v>
      </c>
      <c r="E111" s="22" t="e">
        <f>VLOOKUP(C111,#REF!,3,0)</f>
        <v>#REF!</v>
      </c>
      <c r="F111" s="23">
        <v>45790</v>
      </c>
      <c r="G111" s="24">
        <f t="shared" si="2"/>
        <v>5</v>
      </c>
      <c r="H111" s="22" t="s">
        <v>454</v>
      </c>
      <c r="I111" s="25" t="s">
        <v>455</v>
      </c>
      <c r="J111" s="26" t="s">
        <v>106</v>
      </c>
      <c r="K111" s="24"/>
      <c r="L111" s="27" t="s">
        <v>107</v>
      </c>
      <c r="M111" s="27" t="s">
        <v>108</v>
      </c>
      <c r="N111" s="27"/>
      <c r="O111" s="28" t="s">
        <v>53</v>
      </c>
      <c r="P111" s="28" t="s">
        <v>52</v>
      </c>
      <c r="Q111" s="29"/>
      <c r="R111" s="28"/>
      <c r="S111" s="28"/>
    </row>
    <row r="112" ht="29" customHeight="1" spans="1:19">
      <c r="A112" s="20">
        <v>111</v>
      </c>
      <c r="B112" s="21" t="s">
        <v>456</v>
      </c>
      <c r="C112" s="22" t="s">
        <v>457</v>
      </c>
      <c r="D112" s="22" t="s">
        <v>458</v>
      </c>
      <c r="E112" s="22" t="e">
        <f>VLOOKUP(C112,#REF!,3,0)</f>
        <v>#REF!</v>
      </c>
      <c r="F112" s="23">
        <v>45791</v>
      </c>
      <c r="G112" s="24">
        <f t="shared" si="2"/>
        <v>5</v>
      </c>
      <c r="H112" s="22" t="s">
        <v>459</v>
      </c>
      <c r="I112" s="25" t="s">
        <v>460</v>
      </c>
      <c r="J112" s="26" t="s">
        <v>127</v>
      </c>
      <c r="K112" s="24"/>
      <c r="L112" s="27" t="s">
        <v>107</v>
      </c>
      <c r="M112" s="27" t="s">
        <v>108</v>
      </c>
      <c r="N112" s="27"/>
      <c r="O112" s="28" t="s">
        <v>53</v>
      </c>
      <c r="P112" s="28" t="s">
        <v>52</v>
      </c>
      <c r="Q112" s="29"/>
      <c r="R112" s="28"/>
      <c r="S112" s="28"/>
    </row>
    <row r="113" ht="29" customHeight="1" spans="1:19">
      <c r="A113" s="20">
        <v>112</v>
      </c>
      <c r="B113" s="34" t="s">
        <v>461</v>
      </c>
      <c r="C113" s="35" t="s">
        <v>55</v>
      </c>
      <c r="D113" s="22" t="s">
        <v>56</v>
      </c>
      <c r="E113" s="22" t="s">
        <v>462</v>
      </c>
      <c r="F113" s="36">
        <v>45791</v>
      </c>
      <c r="G113" s="24">
        <v>5</v>
      </c>
      <c r="H113" s="37" t="s">
        <v>463</v>
      </c>
      <c r="I113" s="37" t="s">
        <v>464</v>
      </c>
      <c r="J113" s="26" t="s">
        <v>170</v>
      </c>
      <c r="K113" s="38"/>
      <c r="L113" s="24" t="s">
        <v>50</v>
      </c>
      <c r="M113" s="24" t="s">
        <v>51</v>
      </c>
      <c r="N113" s="5"/>
      <c r="O113" s="5" t="s">
        <v>53</v>
      </c>
      <c r="P113" s="5" t="s">
        <v>52</v>
      </c>
      <c r="Q113" s="29"/>
      <c r="R113" s="28"/>
      <c r="S113" s="28"/>
    </row>
    <row r="114" ht="29" customHeight="1" spans="1:19">
      <c r="A114" s="20">
        <v>113</v>
      </c>
      <c r="B114" s="21" t="s">
        <v>465</v>
      </c>
      <c r="C114" s="22" t="s">
        <v>45</v>
      </c>
      <c r="D114" s="22" t="s">
        <v>46</v>
      </c>
      <c r="E114" s="22" t="e">
        <f>VLOOKUP(C114,#REF!,3,0)</f>
        <v>#REF!</v>
      </c>
      <c r="F114" s="23">
        <v>45792</v>
      </c>
      <c r="G114" s="24">
        <f>MONTH(F114)</f>
        <v>5</v>
      </c>
      <c r="H114" s="22" t="s">
        <v>466</v>
      </c>
      <c r="I114" s="25" t="s">
        <v>467</v>
      </c>
      <c r="J114" s="26" t="s">
        <v>59</v>
      </c>
      <c r="K114" s="24"/>
      <c r="L114" s="27" t="s">
        <v>50</v>
      </c>
      <c r="M114" s="27" t="s">
        <v>60</v>
      </c>
      <c r="N114" s="27"/>
      <c r="O114" s="28" t="s">
        <v>52</v>
      </c>
      <c r="P114" s="28" t="s">
        <v>52</v>
      </c>
      <c r="Q114" s="29"/>
      <c r="R114" s="28"/>
      <c r="S114" s="28"/>
    </row>
    <row r="115" ht="29" customHeight="1" spans="1:19">
      <c r="A115" s="20">
        <v>114</v>
      </c>
      <c r="B115" s="21" t="s">
        <v>468</v>
      </c>
      <c r="C115" s="22" t="s">
        <v>469</v>
      </c>
      <c r="D115" s="22" t="s">
        <v>237</v>
      </c>
      <c r="E115" s="22" t="e">
        <f>VLOOKUP(C115,#REF!,3,0)</f>
        <v>#REF!</v>
      </c>
      <c r="F115" s="23">
        <v>45792</v>
      </c>
      <c r="G115" s="24">
        <f>MONTH(F115)</f>
        <v>5</v>
      </c>
      <c r="H115" s="22" t="s">
        <v>470</v>
      </c>
      <c r="I115" s="25" t="s">
        <v>471</v>
      </c>
      <c r="J115" s="26" t="s">
        <v>170</v>
      </c>
      <c r="K115" s="24"/>
      <c r="L115" s="27" t="s">
        <v>107</v>
      </c>
      <c r="M115" s="27" t="s">
        <v>108</v>
      </c>
      <c r="N115" s="27"/>
      <c r="O115" s="28" t="s">
        <v>53</v>
      </c>
      <c r="P115" s="28" t="s">
        <v>52</v>
      </c>
      <c r="Q115" s="29"/>
      <c r="R115" s="28"/>
      <c r="S115" s="28"/>
    </row>
    <row r="116" ht="29" customHeight="1" spans="1:19">
      <c r="A116" s="20">
        <v>115</v>
      </c>
      <c r="B116" s="21" t="s">
        <v>472</v>
      </c>
      <c r="C116" s="22" t="s">
        <v>473</v>
      </c>
      <c r="D116" s="22" t="s">
        <v>95</v>
      </c>
      <c r="E116" s="22" t="e">
        <f>VLOOKUP(C116,#REF!,3,0)</f>
        <v>#REF!</v>
      </c>
      <c r="F116" s="23">
        <v>45794</v>
      </c>
      <c r="G116" s="24">
        <f>MONTH(F116)</f>
        <v>5</v>
      </c>
      <c r="H116" s="22" t="s">
        <v>474</v>
      </c>
      <c r="I116" s="25" t="s">
        <v>475</v>
      </c>
      <c r="J116" s="26" t="s">
        <v>106</v>
      </c>
      <c r="K116" s="24"/>
      <c r="L116" s="27" t="s">
        <v>107</v>
      </c>
      <c r="M116" s="27" t="s">
        <v>108</v>
      </c>
      <c r="N116" s="27"/>
      <c r="O116" s="28" t="s">
        <v>53</v>
      </c>
      <c r="P116" s="28" t="s">
        <v>52</v>
      </c>
      <c r="Q116" s="29"/>
      <c r="R116" s="28"/>
      <c r="S116" s="28"/>
    </row>
    <row r="117" ht="29" customHeight="1" spans="1:19">
      <c r="A117" s="20">
        <v>116</v>
      </c>
      <c r="B117" s="21" t="s">
        <v>476</v>
      </c>
      <c r="C117" s="22" t="s">
        <v>140</v>
      </c>
      <c r="D117" s="22" t="s">
        <v>124</v>
      </c>
      <c r="E117" s="22" t="e">
        <f>VLOOKUP(C117,#REF!,3,0)</f>
        <v>#REF!</v>
      </c>
      <c r="F117" s="23">
        <v>45795</v>
      </c>
      <c r="G117" s="24">
        <f t="shared" ref="G117:G128" si="3">MONTH(F117)</f>
        <v>5</v>
      </c>
      <c r="H117" s="22" t="s">
        <v>477</v>
      </c>
      <c r="I117" s="25" t="s">
        <v>478</v>
      </c>
      <c r="J117" s="26" t="s">
        <v>170</v>
      </c>
      <c r="K117" s="24"/>
      <c r="L117" s="27" t="s">
        <v>107</v>
      </c>
      <c r="M117" s="27" t="s">
        <v>108</v>
      </c>
      <c r="N117" s="27"/>
      <c r="O117" s="28" t="s">
        <v>53</v>
      </c>
      <c r="P117" s="28" t="s">
        <v>52</v>
      </c>
      <c r="Q117" s="29"/>
      <c r="R117" s="28"/>
      <c r="S117" s="28"/>
    </row>
    <row r="118" ht="29" customHeight="1" spans="1:19">
      <c r="A118" s="20">
        <v>117</v>
      </c>
      <c r="B118" s="21" t="s">
        <v>479</v>
      </c>
      <c r="C118" s="22" t="s">
        <v>372</v>
      </c>
      <c r="D118" s="22" t="s">
        <v>373</v>
      </c>
      <c r="E118" s="22" t="e">
        <f>VLOOKUP(C118,#REF!,3,0)</f>
        <v>#REF!</v>
      </c>
      <c r="F118" s="23">
        <v>45795</v>
      </c>
      <c r="G118" s="24">
        <f t="shared" si="3"/>
        <v>5</v>
      </c>
      <c r="H118" s="22" t="s">
        <v>480</v>
      </c>
      <c r="I118" s="25" t="s">
        <v>481</v>
      </c>
      <c r="J118" s="26" t="s">
        <v>66</v>
      </c>
      <c r="K118" s="24"/>
      <c r="L118" s="27" t="s">
        <v>107</v>
      </c>
      <c r="M118" s="27" t="s">
        <v>108</v>
      </c>
      <c r="N118" s="27"/>
      <c r="O118" s="28" t="s">
        <v>53</v>
      </c>
      <c r="P118" s="28" t="s">
        <v>52</v>
      </c>
      <c r="Q118" s="29"/>
      <c r="R118" s="28"/>
      <c r="S118" s="28"/>
    </row>
    <row r="119" ht="29" customHeight="1" spans="1:19">
      <c r="A119" s="20">
        <v>118</v>
      </c>
      <c r="B119" s="21" t="s">
        <v>482</v>
      </c>
      <c r="C119" s="22" t="s">
        <v>55</v>
      </c>
      <c r="D119" s="22" t="s">
        <v>56</v>
      </c>
      <c r="E119" s="22" t="e">
        <f>VLOOKUP(C119,#REF!,3,0)</f>
        <v>#REF!</v>
      </c>
      <c r="F119" s="23">
        <v>45797</v>
      </c>
      <c r="G119" s="24">
        <f t="shared" si="3"/>
        <v>5</v>
      </c>
      <c r="H119" s="22" t="s">
        <v>483</v>
      </c>
      <c r="I119" s="25" t="s">
        <v>484</v>
      </c>
      <c r="J119" s="26" t="s">
        <v>59</v>
      </c>
      <c r="K119" s="24"/>
      <c r="L119" s="27" t="s">
        <v>50</v>
      </c>
      <c r="M119" s="27" t="s">
        <v>60</v>
      </c>
      <c r="N119" s="27"/>
      <c r="O119" s="28" t="s">
        <v>52</v>
      </c>
      <c r="P119" s="28" t="s">
        <v>52</v>
      </c>
      <c r="Q119" s="29"/>
      <c r="R119" s="28"/>
      <c r="S119" s="28"/>
    </row>
    <row r="120" ht="29" customHeight="1" spans="1:19">
      <c r="A120" s="20">
        <v>119</v>
      </c>
      <c r="B120" s="21" t="s">
        <v>485</v>
      </c>
      <c r="C120" s="22" t="s">
        <v>486</v>
      </c>
      <c r="D120" s="22" t="s">
        <v>237</v>
      </c>
      <c r="E120" s="22" t="e">
        <f>VLOOKUP(C120,#REF!,3,0)</f>
        <v>#REF!</v>
      </c>
      <c r="F120" s="23">
        <v>45798</v>
      </c>
      <c r="G120" s="24">
        <f t="shared" si="3"/>
        <v>5</v>
      </c>
      <c r="H120" s="22" t="s">
        <v>487</v>
      </c>
      <c r="I120" s="25" t="s">
        <v>488</v>
      </c>
      <c r="J120" s="26" t="s">
        <v>66</v>
      </c>
      <c r="K120" s="24"/>
      <c r="L120" s="27" t="s">
        <v>50</v>
      </c>
      <c r="M120" s="27" t="s">
        <v>51</v>
      </c>
      <c r="N120" s="27"/>
      <c r="O120" s="28" t="s">
        <v>53</v>
      </c>
      <c r="P120" s="28" t="s">
        <v>52</v>
      </c>
      <c r="Q120" s="29"/>
      <c r="R120" s="28"/>
      <c r="S120" s="28"/>
    </row>
    <row r="121" ht="29" customHeight="1" spans="1:19">
      <c r="A121" s="20">
        <v>120</v>
      </c>
      <c r="B121" s="21" t="s">
        <v>489</v>
      </c>
      <c r="C121" s="22" t="s">
        <v>380</v>
      </c>
      <c r="D121" s="22" t="s">
        <v>155</v>
      </c>
      <c r="E121" s="22" t="e">
        <f>VLOOKUP(C121,#REF!,3,0)</f>
        <v>#REF!</v>
      </c>
      <c r="F121" s="23">
        <v>45801</v>
      </c>
      <c r="G121" s="24">
        <f t="shared" si="3"/>
        <v>5</v>
      </c>
      <c r="H121" s="22" t="s">
        <v>490</v>
      </c>
      <c r="I121" s="25" t="s">
        <v>491</v>
      </c>
      <c r="J121" s="26" t="s">
        <v>59</v>
      </c>
      <c r="K121" s="24"/>
      <c r="L121" s="27" t="s">
        <v>50</v>
      </c>
      <c r="M121" s="27" t="s">
        <v>60</v>
      </c>
      <c r="N121" s="27"/>
      <c r="O121" s="28" t="s">
        <v>52</v>
      </c>
      <c r="P121" s="28" t="s">
        <v>52</v>
      </c>
      <c r="Q121" s="29"/>
      <c r="R121" s="28"/>
      <c r="S121" s="28"/>
    </row>
    <row r="122" ht="29" customHeight="1" spans="1:19">
      <c r="A122" s="20">
        <v>121</v>
      </c>
      <c r="B122" s="21" t="s">
        <v>492</v>
      </c>
      <c r="C122" s="22" t="s">
        <v>119</v>
      </c>
      <c r="D122" s="22" t="s">
        <v>69</v>
      </c>
      <c r="E122" s="22" t="e">
        <f>VLOOKUP(C122,#REF!,3,0)</f>
        <v>#REF!</v>
      </c>
      <c r="F122" s="23">
        <v>45804</v>
      </c>
      <c r="G122" s="24">
        <f t="shared" si="3"/>
        <v>5</v>
      </c>
      <c r="H122" s="22" t="s">
        <v>493</v>
      </c>
      <c r="I122" s="25" t="s">
        <v>494</v>
      </c>
      <c r="J122" s="26" t="s">
        <v>66</v>
      </c>
      <c r="K122" s="24"/>
      <c r="L122" s="27" t="s">
        <v>50</v>
      </c>
      <c r="M122" s="27" t="s">
        <v>60</v>
      </c>
      <c r="N122" s="27"/>
      <c r="O122" s="28" t="s">
        <v>52</v>
      </c>
      <c r="P122" s="28" t="s">
        <v>52</v>
      </c>
      <c r="Q122" s="29"/>
      <c r="R122" s="28"/>
      <c r="S122" s="28"/>
    </row>
    <row r="123" s="7" customFormat="1" ht="29" customHeight="1" spans="1:19">
      <c r="A123" s="20">
        <v>122</v>
      </c>
      <c r="B123" s="21" t="s">
        <v>495</v>
      </c>
      <c r="C123" s="22" t="s">
        <v>110</v>
      </c>
      <c r="D123" s="22" t="s">
        <v>80</v>
      </c>
      <c r="E123" s="22" t="e">
        <f>VLOOKUP(C123,#REF!,3,0)</f>
        <v>#REF!</v>
      </c>
      <c r="F123" s="23">
        <v>45805</v>
      </c>
      <c r="G123" s="24">
        <f t="shared" si="3"/>
        <v>5</v>
      </c>
      <c r="H123" s="22" t="s">
        <v>496</v>
      </c>
      <c r="I123" s="25" t="s">
        <v>497</v>
      </c>
      <c r="J123" s="26" t="s">
        <v>127</v>
      </c>
      <c r="K123" s="24"/>
      <c r="L123" s="24" t="s">
        <v>107</v>
      </c>
      <c r="M123" s="24" t="s">
        <v>108</v>
      </c>
      <c r="N123" s="24"/>
      <c r="O123" s="28" t="s">
        <v>53</v>
      </c>
      <c r="P123" s="28" t="s">
        <v>52</v>
      </c>
      <c r="Q123" s="39"/>
      <c r="R123" s="5"/>
      <c r="S123" s="5"/>
    </row>
    <row r="124" s="7" customFormat="1" ht="29" customHeight="1" spans="1:19">
      <c r="A124" s="20">
        <v>123</v>
      </c>
      <c r="B124" s="21" t="s">
        <v>498</v>
      </c>
      <c r="C124" s="22" t="s">
        <v>110</v>
      </c>
      <c r="D124" s="22" t="s">
        <v>80</v>
      </c>
      <c r="E124" s="22" t="e">
        <f>VLOOKUP(C124,#REF!,3,0)</f>
        <v>#REF!</v>
      </c>
      <c r="F124" s="23">
        <v>45806</v>
      </c>
      <c r="G124" s="24">
        <f t="shared" si="3"/>
        <v>5</v>
      </c>
      <c r="H124" s="22" t="s">
        <v>499</v>
      </c>
      <c r="I124" s="25" t="s">
        <v>500</v>
      </c>
      <c r="J124" s="26" t="s">
        <v>106</v>
      </c>
      <c r="K124" s="24"/>
      <c r="L124" s="24" t="s">
        <v>107</v>
      </c>
      <c r="M124" s="24" t="s">
        <v>108</v>
      </c>
      <c r="N124" s="24"/>
      <c r="O124" s="28" t="s">
        <v>53</v>
      </c>
      <c r="P124" s="28" t="s">
        <v>53</v>
      </c>
      <c r="Q124" s="39"/>
      <c r="R124" s="5"/>
      <c r="S124" s="5"/>
    </row>
    <row r="125" s="7" customFormat="1" ht="29" customHeight="1" spans="1:19">
      <c r="A125" s="20">
        <v>124</v>
      </c>
      <c r="B125" s="21" t="s">
        <v>501</v>
      </c>
      <c r="C125" s="22" t="s">
        <v>182</v>
      </c>
      <c r="D125" s="22" t="s">
        <v>183</v>
      </c>
      <c r="E125" s="22" t="e">
        <f>VLOOKUP(C125,#REF!,3,0)</f>
        <v>#REF!</v>
      </c>
      <c r="F125" s="23">
        <v>45806</v>
      </c>
      <c r="G125" s="24">
        <f t="shared" si="3"/>
        <v>5</v>
      </c>
      <c r="H125" s="22" t="s">
        <v>502</v>
      </c>
      <c r="I125" s="25" t="s">
        <v>503</v>
      </c>
      <c r="J125" s="26" t="s">
        <v>59</v>
      </c>
      <c r="K125" s="24"/>
      <c r="L125" s="24" t="s">
        <v>50</v>
      </c>
      <c r="M125" s="24" t="s">
        <v>60</v>
      </c>
      <c r="N125" s="24"/>
      <c r="O125" s="28" t="s">
        <v>52</v>
      </c>
      <c r="P125" s="28" t="s">
        <v>52</v>
      </c>
      <c r="Q125" s="39"/>
      <c r="R125" s="5"/>
      <c r="S125" s="5"/>
    </row>
    <row r="126" ht="29" customHeight="1" spans="1:19">
      <c r="A126" s="20">
        <v>125</v>
      </c>
      <c r="B126" s="21" t="s">
        <v>504</v>
      </c>
      <c r="C126" s="22" t="s">
        <v>505</v>
      </c>
      <c r="D126" s="22" t="s">
        <v>274</v>
      </c>
      <c r="E126" s="22" t="e">
        <f>VLOOKUP(C126,#REF!,3,0)</f>
        <v>#REF!</v>
      </c>
      <c r="F126" s="23">
        <v>45808</v>
      </c>
      <c r="G126" s="24">
        <f t="shared" si="3"/>
        <v>5</v>
      </c>
      <c r="H126" s="22" t="s">
        <v>506</v>
      </c>
      <c r="I126" s="25" t="s">
        <v>507</v>
      </c>
      <c r="J126" s="26" t="s">
        <v>66</v>
      </c>
      <c r="K126" s="24"/>
      <c r="L126" s="24" t="s">
        <v>107</v>
      </c>
      <c r="M126" s="27" t="s">
        <v>108</v>
      </c>
      <c r="N126" s="27"/>
      <c r="O126" s="28" t="s">
        <v>53</v>
      </c>
      <c r="P126" s="28" t="s">
        <v>52</v>
      </c>
      <c r="Q126" s="29"/>
      <c r="R126" s="28"/>
      <c r="S126" s="28"/>
    </row>
    <row r="127" ht="29" customHeight="1" spans="1:19">
      <c r="A127" s="20">
        <v>126</v>
      </c>
      <c r="B127" s="21" t="s">
        <v>508</v>
      </c>
      <c r="C127" s="22" t="s">
        <v>94</v>
      </c>
      <c r="D127" s="22" t="s">
        <v>95</v>
      </c>
      <c r="E127" s="22" t="e">
        <f>VLOOKUP(C127,#REF!,3,0)</f>
        <v>#REF!</v>
      </c>
      <c r="F127" s="23">
        <v>45808</v>
      </c>
      <c r="G127" s="24">
        <f t="shared" si="3"/>
        <v>5</v>
      </c>
      <c r="H127" s="22" t="s">
        <v>509</v>
      </c>
      <c r="I127" s="25" t="s">
        <v>510</v>
      </c>
      <c r="J127" s="26" t="s">
        <v>234</v>
      </c>
      <c r="K127" s="24"/>
      <c r="L127" s="27" t="s">
        <v>107</v>
      </c>
      <c r="M127" s="27" t="s">
        <v>108</v>
      </c>
      <c r="N127" s="27"/>
      <c r="O127" s="28" t="s">
        <v>53</v>
      </c>
      <c r="P127" s="28" t="s">
        <v>52</v>
      </c>
      <c r="Q127" s="29"/>
      <c r="R127" s="28"/>
      <c r="S127" s="28"/>
    </row>
    <row r="128" ht="29" customHeight="1" spans="1:19">
      <c r="A128" s="20">
        <v>127</v>
      </c>
      <c r="B128" s="21" t="s">
        <v>511</v>
      </c>
      <c r="C128" s="22" t="s">
        <v>110</v>
      </c>
      <c r="D128" s="22" t="s">
        <v>80</v>
      </c>
      <c r="E128" s="22" t="e">
        <f>VLOOKUP(C128,#REF!,3,0)</f>
        <v>#REF!</v>
      </c>
      <c r="F128" s="23">
        <v>45808</v>
      </c>
      <c r="G128" s="24">
        <f t="shared" si="3"/>
        <v>5</v>
      </c>
      <c r="H128" s="22" t="s">
        <v>512</v>
      </c>
      <c r="I128" s="25" t="s">
        <v>513</v>
      </c>
      <c r="J128" s="26" t="s">
        <v>106</v>
      </c>
      <c r="K128" s="24"/>
      <c r="L128" s="27" t="s">
        <v>107</v>
      </c>
      <c r="M128" s="27" t="s">
        <v>108</v>
      </c>
      <c r="N128" s="27"/>
      <c r="O128" s="28" t="s">
        <v>53</v>
      </c>
      <c r="P128" s="28" t="s">
        <v>53</v>
      </c>
      <c r="Q128" s="29"/>
      <c r="R128" s="28"/>
      <c r="S128" s="28"/>
    </row>
    <row r="129" customFormat="1" ht="29" customHeight="1" spans="1:19">
      <c r="A129" s="20">
        <v>128</v>
      </c>
      <c r="B129" s="21" t="s">
        <v>514</v>
      </c>
      <c r="C129" s="22" t="s">
        <v>172</v>
      </c>
      <c r="D129" s="22" t="s">
        <v>155</v>
      </c>
      <c r="E129" s="22" t="s">
        <v>462</v>
      </c>
      <c r="F129" s="23">
        <v>45809</v>
      </c>
      <c r="G129" s="24">
        <v>6</v>
      </c>
      <c r="H129" s="40" t="s">
        <v>515</v>
      </c>
      <c r="I129" s="25" t="s">
        <v>516</v>
      </c>
      <c r="J129" s="26" t="s">
        <v>66</v>
      </c>
      <c r="K129" s="24"/>
      <c r="L129" s="27" t="s">
        <v>50</v>
      </c>
      <c r="M129" s="27" t="s">
        <v>51</v>
      </c>
      <c r="N129" s="28"/>
      <c r="O129" s="28" t="s">
        <v>53</v>
      </c>
      <c r="P129" s="28" t="s">
        <v>52</v>
      </c>
      <c r="Q129" s="29"/>
      <c r="R129" s="28"/>
      <c r="S129" s="28"/>
    </row>
    <row r="130" customFormat="1" ht="29" customHeight="1" spans="1:19">
      <c r="A130" s="20">
        <v>129</v>
      </c>
      <c r="B130" s="21" t="s">
        <v>517</v>
      </c>
      <c r="C130" s="22" t="s">
        <v>518</v>
      </c>
      <c r="D130" s="22" t="s">
        <v>103</v>
      </c>
      <c r="E130" s="22" t="s">
        <v>462</v>
      </c>
      <c r="F130" s="23">
        <v>45810</v>
      </c>
      <c r="G130" s="24">
        <v>6</v>
      </c>
      <c r="H130" s="25" t="s">
        <v>519</v>
      </c>
      <c r="I130" s="25" t="s">
        <v>520</v>
      </c>
      <c r="J130" s="26" t="s">
        <v>59</v>
      </c>
      <c r="K130" s="24"/>
      <c r="L130" s="27" t="s">
        <v>50</v>
      </c>
      <c r="M130" s="27" t="s">
        <v>60</v>
      </c>
      <c r="N130" s="28"/>
      <c r="O130" s="28" t="s">
        <v>52</v>
      </c>
      <c r="P130" s="28" t="s">
        <v>52</v>
      </c>
      <c r="Q130" s="29"/>
      <c r="R130" s="28"/>
      <c r="S130" s="28"/>
    </row>
    <row r="131" customFormat="1" ht="29" customHeight="1" spans="1:19">
      <c r="A131" s="20">
        <v>130</v>
      </c>
      <c r="B131" s="21" t="s">
        <v>521</v>
      </c>
      <c r="C131" s="22" t="s">
        <v>522</v>
      </c>
      <c r="D131" s="22" t="s">
        <v>80</v>
      </c>
      <c r="E131" s="22" t="s">
        <v>462</v>
      </c>
      <c r="F131" s="23">
        <v>45811</v>
      </c>
      <c r="G131" s="24">
        <v>6</v>
      </c>
      <c r="H131" s="25" t="s">
        <v>523</v>
      </c>
      <c r="I131" s="25" t="s">
        <v>524</v>
      </c>
      <c r="J131" s="26" t="s">
        <v>127</v>
      </c>
      <c r="K131" s="24"/>
      <c r="L131" s="27" t="s">
        <v>107</v>
      </c>
      <c r="M131" s="27" t="s">
        <v>108</v>
      </c>
      <c r="N131" s="28"/>
      <c r="O131" s="28" t="s">
        <v>53</v>
      </c>
      <c r="P131" s="28" t="s">
        <v>52</v>
      </c>
      <c r="Q131" s="29"/>
      <c r="R131" s="28"/>
      <c r="S131" s="28"/>
    </row>
    <row r="132" customFormat="1" ht="29" customHeight="1" spans="1:19">
      <c r="A132" s="20">
        <v>131</v>
      </c>
      <c r="B132" s="21" t="s">
        <v>525</v>
      </c>
      <c r="C132" s="22" t="s">
        <v>522</v>
      </c>
      <c r="D132" s="22" t="s">
        <v>80</v>
      </c>
      <c r="E132" s="22" t="s">
        <v>462</v>
      </c>
      <c r="F132" s="23">
        <v>45812</v>
      </c>
      <c r="G132" s="24">
        <v>6</v>
      </c>
      <c r="H132" s="25" t="s">
        <v>526</v>
      </c>
      <c r="I132" s="25" t="s">
        <v>527</v>
      </c>
      <c r="J132" s="26" t="s">
        <v>106</v>
      </c>
      <c r="K132" s="24"/>
      <c r="L132" s="27" t="s">
        <v>107</v>
      </c>
      <c r="M132" s="27" t="s">
        <v>108</v>
      </c>
      <c r="N132" s="28"/>
      <c r="O132" s="28" t="s">
        <v>53</v>
      </c>
      <c r="P132" s="28" t="s">
        <v>53</v>
      </c>
      <c r="Q132" s="29"/>
      <c r="R132" s="28"/>
      <c r="S132" s="28"/>
    </row>
    <row r="133" customFormat="1" ht="29" customHeight="1" spans="1:19">
      <c r="A133" s="20">
        <v>132</v>
      </c>
      <c r="B133" s="41" t="s">
        <v>528</v>
      </c>
      <c r="C133" s="22" t="s">
        <v>45</v>
      </c>
      <c r="D133" s="22" t="s">
        <v>46</v>
      </c>
      <c r="E133" s="22" t="s">
        <v>529</v>
      </c>
      <c r="F133" s="23">
        <v>45813</v>
      </c>
      <c r="G133" s="24">
        <v>6</v>
      </c>
      <c r="H133" s="25" t="s">
        <v>530</v>
      </c>
      <c r="I133" s="25" t="s">
        <v>531</v>
      </c>
      <c r="J133" s="26" t="s">
        <v>158</v>
      </c>
      <c r="K133" s="24"/>
      <c r="L133" s="27" t="s">
        <v>50</v>
      </c>
      <c r="M133" s="27" t="s">
        <v>336</v>
      </c>
      <c r="N133" s="28"/>
      <c r="O133" s="28" t="s">
        <v>53</v>
      </c>
      <c r="P133" s="28" t="s">
        <v>52</v>
      </c>
      <c r="Q133" s="29"/>
      <c r="R133" s="28"/>
      <c r="S133" s="28"/>
    </row>
    <row r="134" customFormat="1" ht="29" customHeight="1" spans="1:19">
      <c r="A134" s="20">
        <v>133</v>
      </c>
      <c r="B134" s="41" t="s">
        <v>532</v>
      </c>
      <c r="C134" s="22" t="s">
        <v>68</v>
      </c>
      <c r="D134" s="22" t="s">
        <v>69</v>
      </c>
      <c r="E134" s="22" t="s">
        <v>529</v>
      </c>
      <c r="F134" s="23">
        <v>45814</v>
      </c>
      <c r="G134" s="24">
        <v>6</v>
      </c>
      <c r="H134" s="25" t="s">
        <v>533</v>
      </c>
      <c r="I134" s="25" t="s">
        <v>534</v>
      </c>
      <c r="J134" s="26" t="s">
        <v>106</v>
      </c>
      <c r="K134" s="24"/>
      <c r="L134" s="27" t="s">
        <v>50</v>
      </c>
      <c r="M134" s="27" t="s">
        <v>60</v>
      </c>
      <c r="N134" s="28"/>
      <c r="O134" s="28" t="s">
        <v>52</v>
      </c>
      <c r="P134" s="28" t="s">
        <v>52</v>
      </c>
      <c r="Q134" s="29"/>
      <c r="R134" s="28"/>
      <c r="S134" s="28"/>
    </row>
    <row r="135" customFormat="1" ht="29" customHeight="1" spans="1:19">
      <c r="A135" s="20">
        <v>134</v>
      </c>
      <c r="B135" s="41" t="s">
        <v>535</v>
      </c>
      <c r="C135" s="22" t="s">
        <v>522</v>
      </c>
      <c r="D135" s="22" t="s">
        <v>80</v>
      </c>
      <c r="E135" s="22" t="s">
        <v>462</v>
      </c>
      <c r="F135" s="23">
        <v>45812</v>
      </c>
      <c r="G135" s="24">
        <v>6</v>
      </c>
      <c r="H135" s="25" t="s">
        <v>536</v>
      </c>
      <c r="I135" s="25" t="s">
        <v>537</v>
      </c>
      <c r="J135" s="26" t="s">
        <v>59</v>
      </c>
      <c r="K135" s="24"/>
      <c r="L135" s="27" t="s">
        <v>50</v>
      </c>
      <c r="M135" s="27" t="s">
        <v>60</v>
      </c>
      <c r="N135" s="28"/>
      <c r="O135" s="28" t="s">
        <v>52</v>
      </c>
      <c r="P135" s="28" t="s">
        <v>52</v>
      </c>
      <c r="Q135" s="29"/>
      <c r="R135" s="28"/>
      <c r="S135" s="28"/>
    </row>
    <row r="136" customFormat="1" ht="29" customHeight="1" spans="1:19">
      <c r="A136" s="20">
        <v>135</v>
      </c>
      <c r="B136" s="21" t="s">
        <v>538</v>
      </c>
      <c r="C136" s="22" t="s">
        <v>333</v>
      </c>
      <c r="D136" s="22" t="s">
        <v>95</v>
      </c>
      <c r="E136" s="22" t="s">
        <v>539</v>
      </c>
      <c r="F136" s="23">
        <v>45815</v>
      </c>
      <c r="G136" s="24">
        <v>6</v>
      </c>
      <c r="H136" s="25" t="s">
        <v>540</v>
      </c>
      <c r="I136" s="25" t="s">
        <v>541</v>
      </c>
      <c r="J136" s="26" t="s">
        <v>59</v>
      </c>
      <c r="K136" s="24"/>
      <c r="L136" s="27" t="s">
        <v>50</v>
      </c>
      <c r="M136" s="27" t="s">
        <v>60</v>
      </c>
      <c r="N136" s="27">
        <v>15000</v>
      </c>
      <c r="O136" s="28" t="s">
        <v>52</v>
      </c>
      <c r="P136" s="28" t="s">
        <v>52</v>
      </c>
      <c r="Q136" s="29"/>
      <c r="R136" s="28"/>
      <c r="S136" s="28"/>
    </row>
    <row r="137" customFormat="1" ht="29" customHeight="1" spans="1:19">
      <c r="A137" s="20">
        <v>136</v>
      </c>
      <c r="B137" s="41" t="s">
        <v>542</v>
      </c>
      <c r="C137" s="22" t="s">
        <v>73</v>
      </c>
      <c r="D137" s="22" t="s">
        <v>74</v>
      </c>
      <c r="E137" s="22" t="s">
        <v>462</v>
      </c>
      <c r="F137" s="23">
        <v>45816</v>
      </c>
      <c r="G137" s="24">
        <v>6</v>
      </c>
      <c r="H137" s="25" t="s">
        <v>543</v>
      </c>
      <c r="I137" s="25" t="s">
        <v>544</v>
      </c>
      <c r="J137" s="26" t="s">
        <v>127</v>
      </c>
      <c r="K137" s="24"/>
      <c r="L137" s="27" t="s">
        <v>50</v>
      </c>
      <c r="M137" s="27" t="s">
        <v>51</v>
      </c>
      <c r="N137" s="28"/>
      <c r="O137" s="28" t="s">
        <v>53</v>
      </c>
      <c r="P137" s="28" t="s">
        <v>52</v>
      </c>
      <c r="Q137" s="29"/>
      <c r="R137" s="28"/>
      <c r="S137" s="28"/>
    </row>
    <row r="138" customFormat="1" ht="29" customHeight="1" spans="1:19">
      <c r="A138" s="20">
        <v>137</v>
      </c>
      <c r="B138" s="21" t="s">
        <v>545</v>
      </c>
      <c r="C138" s="22" t="s">
        <v>469</v>
      </c>
      <c r="D138" s="22" t="s">
        <v>237</v>
      </c>
      <c r="E138" s="22" t="s">
        <v>462</v>
      </c>
      <c r="F138" s="23">
        <v>45815</v>
      </c>
      <c r="G138" s="24">
        <v>6</v>
      </c>
      <c r="H138" s="25" t="s">
        <v>546</v>
      </c>
      <c r="I138" s="25" t="s">
        <v>547</v>
      </c>
      <c r="J138" s="26" t="s">
        <v>106</v>
      </c>
      <c r="K138" s="24"/>
      <c r="L138" s="27" t="s">
        <v>107</v>
      </c>
      <c r="M138" s="27" t="s">
        <v>108</v>
      </c>
      <c r="N138" s="28"/>
      <c r="O138" s="28" t="s">
        <v>53</v>
      </c>
      <c r="P138" s="28" t="s">
        <v>53</v>
      </c>
      <c r="Q138" s="29"/>
      <c r="R138" s="28"/>
      <c r="S138" s="28"/>
    </row>
    <row r="139" customFormat="1" ht="29" customHeight="1" spans="1:19">
      <c r="A139" s="20">
        <v>138</v>
      </c>
      <c r="B139" s="21" t="s">
        <v>548</v>
      </c>
      <c r="C139" s="22" t="s">
        <v>522</v>
      </c>
      <c r="D139" s="22" t="s">
        <v>80</v>
      </c>
      <c r="E139" s="22" t="s">
        <v>462</v>
      </c>
      <c r="F139" s="23">
        <v>45817</v>
      </c>
      <c r="G139" s="24">
        <v>6</v>
      </c>
      <c r="H139" s="25" t="s">
        <v>549</v>
      </c>
      <c r="I139" s="25" t="s">
        <v>550</v>
      </c>
      <c r="J139" s="26" t="s">
        <v>66</v>
      </c>
      <c r="K139" s="24"/>
      <c r="L139" s="27" t="s">
        <v>50</v>
      </c>
      <c r="M139" s="27" t="s">
        <v>51</v>
      </c>
      <c r="N139" s="28"/>
      <c r="O139" s="28" t="s">
        <v>53</v>
      </c>
      <c r="P139" s="28" t="s">
        <v>52</v>
      </c>
      <c r="Q139" s="29"/>
      <c r="R139" s="28"/>
      <c r="S139" s="28"/>
    </row>
    <row r="140" customFormat="1" ht="29" customHeight="1" spans="1:19">
      <c r="A140" s="20">
        <v>139</v>
      </c>
      <c r="B140" s="21" t="s">
        <v>551</v>
      </c>
      <c r="C140" s="22" t="s">
        <v>302</v>
      </c>
      <c r="D140" s="22" t="s">
        <v>124</v>
      </c>
      <c r="E140" s="22" t="s">
        <v>529</v>
      </c>
      <c r="F140" s="23">
        <v>45820</v>
      </c>
      <c r="G140" s="24">
        <v>6</v>
      </c>
      <c r="H140" s="25" t="s">
        <v>552</v>
      </c>
      <c r="I140" s="25" t="s">
        <v>553</v>
      </c>
      <c r="J140" s="26" t="s">
        <v>66</v>
      </c>
      <c r="K140" s="24"/>
      <c r="L140" s="27" t="s">
        <v>50</v>
      </c>
      <c r="M140" s="27" t="s">
        <v>51</v>
      </c>
      <c r="N140" s="28"/>
      <c r="O140" s="28" t="s">
        <v>53</v>
      </c>
      <c r="P140" s="28" t="s">
        <v>52</v>
      </c>
      <c r="Q140" s="29"/>
      <c r="R140" s="28"/>
      <c r="S140" s="28"/>
    </row>
    <row r="141" customFormat="1" ht="29" customHeight="1" spans="1:19">
      <c r="A141" s="20">
        <v>140</v>
      </c>
      <c r="B141" s="41" t="s">
        <v>554</v>
      </c>
      <c r="C141" s="22" t="s">
        <v>123</v>
      </c>
      <c r="D141" s="22" t="s">
        <v>124</v>
      </c>
      <c r="E141" s="22" t="s">
        <v>529</v>
      </c>
      <c r="F141" s="23">
        <v>45822</v>
      </c>
      <c r="G141" s="24">
        <v>6</v>
      </c>
      <c r="H141" s="25" t="s">
        <v>555</v>
      </c>
      <c r="I141" s="25" t="s">
        <v>108</v>
      </c>
      <c r="J141" s="26" t="s">
        <v>556</v>
      </c>
      <c r="K141" s="24"/>
      <c r="L141" s="27" t="s">
        <v>107</v>
      </c>
      <c r="M141" s="27" t="s">
        <v>554</v>
      </c>
      <c r="N141" s="28"/>
      <c r="O141" s="28" t="s">
        <v>53</v>
      </c>
      <c r="P141" s="28" t="s">
        <v>53</v>
      </c>
      <c r="Q141" s="29"/>
      <c r="R141" s="28"/>
      <c r="S141" s="28"/>
    </row>
    <row r="142" customFormat="1" ht="29" customHeight="1" spans="1:19">
      <c r="A142" s="20">
        <v>141</v>
      </c>
      <c r="B142" s="21" t="s">
        <v>557</v>
      </c>
      <c r="C142" s="22" t="s">
        <v>284</v>
      </c>
      <c r="D142" s="22" t="s">
        <v>155</v>
      </c>
      <c r="E142" s="22" t="s">
        <v>462</v>
      </c>
      <c r="F142" s="23">
        <v>45824</v>
      </c>
      <c r="G142" s="24">
        <v>6</v>
      </c>
      <c r="H142" s="25" t="s">
        <v>558</v>
      </c>
      <c r="I142" s="25" t="s">
        <v>559</v>
      </c>
      <c r="J142" s="26" t="s">
        <v>127</v>
      </c>
      <c r="K142" s="42"/>
      <c r="L142" s="27" t="s">
        <v>50</v>
      </c>
      <c r="M142" s="27" t="s">
        <v>51</v>
      </c>
      <c r="N142" s="28"/>
      <c r="O142" s="28" t="s">
        <v>53</v>
      </c>
      <c r="P142" s="28" t="s">
        <v>52</v>
      </c>
      <c r="Q142" s="29"/>
      <c r="R142" s="28"/>
      <c r="S142" s="28"/>
    </row>
    <row r="143" customFormat="1" ht="29" customHeight="1" spans="1:19">
      <c r="A143" s="20">
        <v>142</v>
      </c>
      <c r="B143" s="21" t="s">
        <v>560</v>
      </c>
      <c r="C143" s="22" t="s">
        <v>102</v>
      </c>
      <c r="D143" s="22" t="s">
        <v>103</v>
      </c>
      <c r="E143" s="22" t="s">
        <v>462</v>
      </c>
      <c r="F143" s="23">
        <v>45824</v>
      </c>
      <c r="G143" s="24">
        <v>6</v>
      </c>
      <c r="H143" s="25" t="s">
        <v>561</v>
      </c>
      <c r="I143" s="25" t="s">
        <v>562</v>
      </c>
      <c r="J143" s="26" t="s">
        <v>59</v>
      </c>
      <c r="K143" s="24"/>
      <c r="L143" s="27" t="s">
        <v>50</v>
      </c>
      <c r="M143" s="27" t="s">
        <v>60</v>
      </c>
      <c r="N143" s="28"/>
      <c r="O143" s="28" t="s">
        <v>52</v>
      </c>
      <c r="P143" s="28" t="s">
        <v>52</v>
      </c>
      <c r="Q143" s="29"/>
      <c r="R143" s="28"/>
      <c r="S143" s="28"/>
    </row>
    <row r="144" customFormat="1" ht="29" customHeight="1" spans="1:19">
      <c r="A144" s="20">
        <v>143</v>
      </c>
      <c r="B144" s="21" t="s">
        <v>563</v>
      </c>
      <c r="C144" s="22" t="s">
        <v>197</v>
      </c>
      <c r="D144" s="22" t="s">
        <v>103</v>
      </c>
      <c r="E144" s="22" t="s">
        <v>462</v>
      </c>
      <c r="F144" s="23">
        <v>45824</v>
      </c>
      <c r="G144" s="24">
        <v>6</v>
      </c>
      <c r="H144" s="25" t="s">
        <v>564</v>
      </c>
      <c r="I144" s="25" t="s">
        <v>565</v>
      </c>
      <c r="J144" s="26" t="s">
        <v>66</v>
      </c>
      <c r="K144" s="24"/>
      <c r="L144" s="27" t="s">
        <v>50</v>
      </c>
      <c r="M144" s="27" t="s">
        <v>51</v>
      </c>
      <c r="N144" s="28"/>
      <c r="O144" s="28" t="s">
        <v>53</v>
      </c>
      <c r="P144" s="28" t="s">
        <v>52</v>
      </c>
      <c r="Q144" s="29"/>
      <c r="R144" s="28"/>
      <c r="S144" s="28"/>
    </row>
    <row r="145" customFormat="1" ht="29" customHeight="1" spans="1:19">
      <c r="A145" s="20">
        <v>144</v>
      </c>
      <c r="B145" s="41" t="s">
        <v>566</v>
      </c>
      <c r="C145" s="22" t="s">
        <v>567</v>
      </c>
      <c r="D145" s="22" t="s">
        <v>568</v>
      </c>
      <c r="E145" s="22" t="s">
        <v>539</v>
      </c>
      <c r="F145" s="23">
        <v>45828</v>
      </c>
      <c r="G145" s="24">
        <v>6</v>
      </c>
      <c r="H145" s="25" t="s">
        <v>569</v>
      </c>
      <c r="I145" s="25" t="s">
        <v>570</v>
      </c>
      <c r="J145" s="26" t="s">
        <v>66</v>
      </c>
      <c r="K145" s="26"/>
      <c r="L145" s="27" t="s">
        <v>50</v>
      </c>
      <c r="M145" s="27" t="s">
        <v>336</v>
      </c>
      <c r="N145" s="27">
        <v>20000</v>
      </c>
      <c r="O145" s="28" t="s">
        <v>53</v>
      </c>
      <c r="P145" s="28" t="s">
        <v>52</v>
      </c>
      <c r="Q145" s="29" t="s">
        <v>571</v>
      </c>
      <c r="R145" s="28"/>
      <c r="S145" s="28"/>
    </row>
    <row r="146" customFormat="1" ht="29" customHeight="1" spans="1:19">
      <c r="A146" s="20">
        <v>145</v>
      </c>
      <c r="B146" s="21" t="s">
        <v>572</v>
      </c>
      <c r="C146" s="22" t="s">
        <v>140</v>
      </c>
      <c r="D146" s="22" t="s">
        <v>124</v>
      </c>
      <c r="E146" s="22" t="s">
        <v>529</v>
      </c>
      <c r="F146" s="23">
        <v>45830</v>
      </c>
      <c r="G146" s="24">
        <v>6</v>
      </c>
      <c r="H146" s="25" t="s">
        <v>573</v>
      </c>
      <c r="I146" s="25" t="s">
        <v>574</v>
      </c>
      <c r="J146" s="26" t="s">
        <v>66</v>
      </c>
      <c r="K146" s="24"/>
      <c r="L146" s="27" t="s">
        <v>50</v>
      </c>
      <c r="M146" s="27" t="s">
        <v>60</v>
      </c>
      <c r="N146" s="28"/>
      <c r="O146" s="28" t="s">
        <v>52</v>
      </c>
      <c r="P146" s="28" t="s">
        <v>52</v>
      </c>
      <c r="Q146" s="29"/>
      <c r="R146" s="28"/>
      <c r="S146" s="28"/>
    </row>
    <row r="147" customFormat="1" ht="29" customHeight="1" spans="1:19">
      <c r="A147" s="20">
        <v>146</v>
      </c>
      <c r="B147" s="43" t="s">
        <v>575</v>
      </c>
      <c r="C147" s="44" t="s">
        <v>576</v>
      </c>
      <c r="D147" s="45" t="s">
        <v>115</v>
      </c>
      <c r="E147" s="45" t="e">
        <f>VLOOKUP(D147,#REF!,2,0)</f>
        <v>#REF!</v>
      </c>
      <c r="F147" s="46">
        <v>45833</v>
      </c>
      <c r="G147" s="12">
        <v>12</v>
      </c>
      <c r="H147" s="47" t="s">
        <v>577</v>
      </c>
      <c r="I147" s="47" t="s">
        <v>578</v>
      </c>
      <c r="J147" s="26" t="s">
        <v>170</v>
      </c>
      <c r="K147" s="28"/>
      <c r="L147" s="27" t="s">
        <v>107</v>
      </c>
      <c r="M147" s="28" t="s">
        <v>107</v>
      </c>
      <c r="N147" s="28"/>
      <c r="O147" s="28" t="s">
        <v>53</v>
      </c>
      <c r="P147" s="28" t="s">
        <v>53</v>
      </c>
      <c r="Q147" s="28"/>
      <c r="R147" s="28"/>
      <c r="S147" s="28"/>
    </row>
    <row r="148" customFormat="1" ht="29" customHeight="1" spans="1:19">
      <c r="A148" s="20">
        <v>147</v>
      </c>
      <c r="B148" s="21" t="s">
        <v>579</v>
      </c>
      <c r="C148" s="22" t="s">
        <v>123</v>
      </c>
      <c r="D148" s="22" t="s">
        <v>124</v>
      </c>
      <c r="E148" s="22" t="s">
        <v>529</v>
      </c>
      <c r="F148" s="23">
        <v>45836</v>
      </c>
      <c r="G148" s="24">
        <v>6</v>
      </c>
      <c r="H148" s="25" t="s">
        <v>580</v>
      </c>
      <c r="I148" s="25" t="s">
        <v>581</v>
      </c>
      <c r="J148" s="26" t="s">
        <v>106</v>
      </c>
      <c r="K148" s="24"/>
      <c r="L148" s="27" t="s">
        <v>107</v>
      </c>
      <c r="M148" s="27" t="s">
        <v>108</v>
      </c>
      <c r="N148" s="28"/>
      <c r="O148" s="28" t="s">
        <v>53</v>
      </c>
      <c r="P148" s="28" t="s">
        <v>53</v>
      </c>
      <c r="Q148" s="29"/>
      <c r="R148" s="28"/>
      <c r="S148" s="28"/>
    </row>
    <row r="149" customFormat="1" ht="29" customHeight="1" spans="1:19">
      <c r="A149" s="20">
        <v>148</v>
      </c>
      <c r="B149" s="41" t="s">
        <v>582</v>
      </c>
      <c r="C149" s="22" t="s">
        <v>89</v>
      </c>
      <c r="D149" s="22" t="s">
        <v>90</v>
      </c>
      <c r="E149" s="22" t="s">
        <v>529</v>
      </c>
      <c r="F149" s="23">
        <v>45827</v>
      </c>
      <c r="G149" s="24">
        <v>6</v>
      </c>
      <c r="H149" s="25" t="s">
        <v>583</v>
      </c>
      <c r="I149" s="25" t="s">
        <v>584</v>
      </c>
      <c r="J149" s="26" t="s">
        <v>59</v>
      </c>
      <c r="K149" s="24"/>
      <c r="L149" s="27" t="s">
        <v>50</v>
      </c>
      <c r="M149" s="27" t="s">
        <v>60</v>
      </c>
      <c r="N149" s="28"/>
      <c r="O149" s="28" t="s">
        <v>52</v>
      </c>
      <c r="P149" s="28" t="s">
        <v>52</v>
      </c>
      <c r="Q149" s="29"/>
      <c r="R149" s="28"/>
      <c r="S149" s="28"/>
    </row>
    <row r="150" customFormat="1" ht="29" customHeight="1" spans="1:19">
      <c r="A150" s="20">
        <v>149</v>
      </c>
      <c r="B150" s="21" t="s">
        <v>585</v>
      </c>
      <c r="C150" s="22" t="s">
        <v>586</v>
      </c>
      <c r="D150" s="22" t="s">
        <v>74</v>
      </c>
      <c r="E150" s="22" t="s">
        <v>462</v>
      </c>
      <c r="F150" s="23">
        <v>45826</v>
      </c>
      <c r="G150" s="24">
        <v>6</v>
      </c>
      <c r="H150" s="25" t="s">
        <v>587</v>
      </c>
      <c r="I150" s="25" t="s">
        <v>588</v>
      </c>
      <c r="J150" s="26" t="s">
        <v>106</v>
      </c>
      <c r="K150" s="24"/>
      <c r="L150" s="27" t="s">
        <v>107</v>
      </c>
      <c r="M150" s="27" t="s">
        <v>108</v>
      </c>
      <c r="N150" s="28"/>
      <c r="O150" s="28" t="s">
        <v>53</v>
      </c>
      <c r="P150" s="28" t="s">
        <v>53</v>
      </c>
      <c r="Q150" s="29"/>
      <c r="R150" s="28"/>
      <c r="S150" s="28"/>
    </row>
    <row r="151" customFormat="1" ht="29" customHeight="1" spans="1:19">
      <c r="A151" s="20">
        <v>150</v>
      </c>
      <c r="B151" s="41" t="s">
        <v>589</v>
      </c>
      <c r="C151" s="22" t="s">
        <v>522</v>
      </c>
      <c r="D151" s="22" t="s">
        <v>80</v>
      </c>
      <c r="E151" s="22" t="s">
        <v>462</v>
      </c>
      <c r="F151" s="23">
        <v>45828</v>
      </c>
      <c r="G151" s="24">
        <v>6</v>
      </c>
      <c r="H151" s="25" t="s">
        <v>590</v>
      </c>
      <c r="I151" s="25" t="s">
        <v>591</v>
      </c>
      <c r="J151" s="26" t="s">
        <v>106</v>
      </c>
      <c r="K151" s="24"/>
      <c r="L151" s="27" t="s">
        <v>107</v>
      </c>
      <c r="M151" s="27" t="s">
        <v>108</v>
      </c>
      <c r="N151" s="28"/>
      <c r="O151" s="28" t="s">
        <v>53</v>
      </c>
      <c r="P151" s="28" t="s">
        <v>53</v>
      </c>
      <c r="Q151" s="29"/>
      <c r="R151" s="28"/>
      <c r="S151" s="28"/>
    </row>
    <row r="152" customFormat="1" ht="29" customHeight="1" spans="1:19">
      <c r="A152" s="20">
        <v>151</v>
      </c>
      <c r="B152" s="41" t="s">
        <v>592</v>
      </c>
      <c r="C152" s="22" t="s">
        <v>593</v>
      </c>
      <c r="D152" s="22" t="s">
        <v>274</v>
      </c>
      <c r="E152" s="22" t="s">
        <v>539</v>
      </c>
      <c r="F152" s="23">
        <v>45828</v>
      </c>
      <c r="G152" s="24">
        <v>6</v>
      </c>
      <c r="H152" s="25" t="s">
        <v>594</v>
      </c>
      <c r="I152" s="25"/>
      <c r="J152" s="26" t="s">
        <v>66</v>
      </c>
      <c r="K152" s="24"/>
      <c r="L152" s="27" t="s">
        <v>107</v>
      </c>
      <c r="M152" s="27" t="s">
        <v>108</v>
      </c>
      <c r="N152" s="28"/>
      <c r="O152" s="28" t="s">
        <v>53</v>
      </c>
      <c r="P152" s="28" t="s">
        <v>53</v>
      </c>
      <c r="Q152" s="29"/>
      <c r="R152" s="28"/>
      <c r="S152" s="28"/>
    </row>
    <row r="153" customFormat="1" ht="29" customHeight="1" spans="1:19">
      <c r="A153" s="20">
        <v>152</v>
      </c>
      <c r="B153" s="41" t="s">
        <v>595</v>
      </c>
      <c r="C153" s="22" t="s">
        <v>586</v>
      </c>
      <c r="D153" s="22" t="s">
        <v>74</v>
      </c>
      <c r="E153" s="22" t="s">
        <v>462</v>
      </c>
      <c r="F153" s="23">
        <v>45830</v>
      </c>
      <c r="G153" s="24">
        <v>6</v>
      </c>
      <c r="H153" s="25" t="s">
        <v>596</v>
      </c>
      <c r="I153" s="25" t="s">
        <v>597</v>
      </c>
      <c r="J153" s="26" t="s">
        <v>325</v>
      </c>
      <c r="K153" s="24"/>
      <c r="L153" s="27" t="s">
        <v>107</v>
      </c>
      <c r="M153" s="27" t="s">
        <v>108</v>
      </c>
      <c r="N153" s="28"/>
      <c r="O153" s="28" t="s">
        <v>53</v>
      </c>
      <c r="P153" s="28" t="s">
        <v>53</v>
      </c>
      <c r="Q153" s="29"/>
      <c r="R153" s="28"/>
      <c r="S153" s="28"/>
    </row>
    <row r="154" customFormat="1" ht="29" customHeight="1" spans="1:19">
      <c r="A154" s="20">
        <v>153</v>
      </c>
      <c r="B154" s="41" t="s">
        <v>598</v>
      </c>
      <c r="C154" s="22" t="s">
        <v>55</v>
      </c>
      <c r="D154" s="22" t="s">
        <v>56</v>
      </c>
      <c r="E154" s="22" t="s">
        <v>462</v>
      </c>
      <c r="F154" s="23">
        <v>45828</v>
      </c>
      <c r="G154" s="24">
        <v>6</v>
      </c>
      <c r="H154" s="25" t="s">
        <v>599</v>
      </c>
      <c r="I154" s="25" t="s">
        <v>600</v>
      </c>
      <c r="J154" s="26" t="s">
        <v>158</v>
      </c>
      <c r="K154" s="24"/>
      <c r="L154" s="27" t="s">
        <v>50</v>
      </c>
      <c r="M154" s="27" t="s">
        <v>60</v>
      </c>
      <c r="N154" s="28"/>
      <c r="O154" s="28" t="s">
        <v>52</v>
      </c>
      <c r="P154" s="28" t="s">
        <v>52</v>
      </c>
      <c r="Q154" s="29"/>
      <c r="R154" s="28"/>
      <c r="S154" s="28"/>
    </row>
    <row r="155" customFormat="1" ht="29" customHeight="1" spans="1:19">
      <c r="A155" s="20">
        <v>154</v>
      </c>
      <c r="B155" s="41" t="s">
        <v>601</v>
      </c>
      <c r="C155" s="22" t="s">
        <v>602</v>
      </c>
      <c r="D155" s="22" t="s">
        <v>274</v>
      </c>
      <c r="E155" s="22" t="s">
        <v>539</v>
      </c>
      <c r="F155" s="23">
        <v>45827</v>
      </c>
      <c r="G155" s="24">
        <v>6</v>
      </c>
      <c r="H155" s="25" t="s">
        <v>603</v>
      </c>
      <c r="I155" s="25" t="s">
        <v>604</v>
      </c>
      <c r="J155" s="26" t="s">
        <v>59</v>
      </c>
      <c r="K155" s="24"/>
      <c r="L155" s="27" t="s">
        <v>50</v>
      </c>
      <c r="M155" s="27" t="s">
        <v>60</v>
      </c>
      <c r="N155" s="28"/>
      <c r="O155" s="28" t="s">
        <v>52</v>
      </c>
      <c r="P155" s="28" t="s">
        <v>52</v>
      </c>
      <c r="Q155" s="29"/>
      <c r="R155" s="28"/>
      <c r="S155" s="28"/>
    </row>
    <row r="156" customFormat="1" ht="29" customHeight="1" spans="1:19">
      <c r="A156" s="20">
        <v>155</v>
      </c>
      <c r="B156" s="21" t="s">
        <v>605</v>
      </c>
      <c r="C156" s="22" t="s">
        <v>606</v>
      </c>
      <c r="D156" s="22" t="s">
        <v>46</v>
      </c>
      <c r="E156" s="22" t="s">
        <v>529</v>
      </c>
      <c r="F156" s="23">
        <v>45831</v>
      </c>
      <c r="G156" s="24">
        <v>6</v>
      </c>
      <c r="H156" s="25" t="s">
        <v>607</v>
      </c>
      <c r="I156" s="25" t="s">
        <v>608</v>
      </c>
      <c r="J156" s="26" t="s">
        <v>59</v>
      </c>
      <c r="K156" s="24"/>
      <c r="L156" s="27" t="s">
        <v>50</v>
      </c>
      <c r="M156" s="27" t="s">
        <v>60</v>
      </c>
      <c r="N156" s="28"/>
      <c r="O156" s="28" t="s">
        <v>52</v>
      </c>
      <c r="P156" s="28" t="s">
        <v>52</v>
      </c>
      <c r="Q156" s="29"/>
      <c r="R156" s="28"/>
      <c r="S156" s="28"/>
    </row>
    <row r="157" customFormat="1" ht="29" customHeight="1" spans="1:19">
      <c r="A157" s="20">
        <v>156</v>
      </c>
      <c r="B157" s="41" t="s">
        <v>609</v>
      </c>
      <c r="C157" s="22" t="s">
        <v>236</v>
      </c>
      <c r="D157" s="22" t="s">
        <v>237</v>
      </c>
      <c r="E157" s="22" t="s">
        <v>462</v>
      </c>
      <c r="F157" s="23">
        <v>45834</v>
      </c>
      <c r="G157" s="24">
        <v>6</v>
      </c>
      <c r="H157" s="25" t="s">
        <v>610</v>
      </c>
      <c r="I157" s="25" t="s">
        <v>611</v>
      </c>
      <c r="J157" s="26" t="s">
        <v>66</v>
      </c>
      <c r="K157" s="24"/>
      <c r="L157" s="27" t="s">
        <v>107</v>
      </c>
      <c r="M157" s="27" t="s">
        <v>108</v>
      </c>
      <c r="N157" s="28"/>
      <c r="O157" s="28" t="s">
        <v>53</v>
      </c>
      <c r="P157" s="28" t="s">
        <v>53</v>
      </c>
      <c r="Q157" s="29"/>
      <c r="R157" s="28"/>
      <c r="S157" s="28"/>
    </row>
    <row r="158" customFormat="1" ht="29" customHeight="1" spans="1:19">
      <c r="A158" s="20">
        <v>157</v>
      </c>
      <c r="B158" s="41" t="s">
        <v>612</v>
      </c>
      <c r="C158" s="22" t="s">
        <v>380</v>
      </c>
      <c r="D158" s="22" t="s">
        <v>155</v>
      </c>
      <c r="E158" s="22" t="s">
        <v>462</v>
      </c>
      <c r="F158" s="23">
        <v>45832</v>
      </c>
      <c r="G158" s="24">
        <v>6</v>
      </c>
      <c r="H158" s="25" t="s">
        <v>613</v>
      </c>
      <c r="I158" s="25" t="s">
        <v>614</v>
      </c>
      <c r="J158" s="26" t="s">
        <v>59</v>
      </c>
      <c r="K158" s="24"/>
      <c r="L158" s="27" t="s">
        <v>50</v>
      </c>
      <c r="M158" s="27" t="s">
        <v>60</v>
      </c>
      <c r="N158" s="28"/>
      <c r="O158" s="28" t="s">
        <v>52</v>
      </c>
      <c r="P158" s="28" t="s">
        <v>52</v>
      </c>
      <c r="Q158" s="29"/>
      <c r="R158" s="28"/>
      <c r="S158" s="28"/>
    </row>
    <row r="159" customFormat="1" ht="29" customHeight="1" spans="1:19">
      <c r="A159" s="20">
        <v>158</v>
      </c>
      <c r="B159" s="21" t="s">
        <v>615</v>
      </c>
      <c r="C159" s="22" t="s">
        <v>616</v>
      </c>
      <c r="D159" s="22" t="s">
        <v>274</v>
      </c>
      <c r="E159" s="22" t="s">
        <v>539</v>
      </c>
      <c r="F159" s="23">
        <v>45832</v>
      </c>
      <c r="G159" s="24">
        <v>6</v>
      </c>
      <c r="H159" s="25" t="s">
        <v>617</v>
      </c>
      <c r="I159" s="25" t="s">
        <v>389</v>
      </c>
      <c r="J159" s="26" t="s">
        <v>127</v>
      </c>
      <c r="K159" s="24"/>
      <c r="L159" s="27" t="s">
        <v>107</v>
      </c>
      <c r="M159" s="27" t="s">
        <v>108</v>
      </c>
      <c r="N159" s="28"/>
      <c r="O159" s="28" t="s">
        <v>53</v>
      </c>
      <c r="P159" s="28" t="s">
        <v>52</v>
      </c>
      <c r="Q159" s="29"/>
      <c r="R159" s="28"/>
      <c r="S159" s="28"/>
    </row>
    <row r="160" customFormat="1" ht="29" customHeight="1" spans="1:19">
      <c r="A160" s="20">
        <v>159</v>
      </c>
      <c r="B160" s="21" t="s">
        <v>618</v>
      </c>
      <c r="C160" s="22" t="s">
        <v>619</v>
      </c>
      <c r="D160" s="22" t="s">
        <v>416</v>
      </c>
      <c r="E160" s="22" t="s">
        <v>529</v>
      </c>
      <c r="F160" s="23">
        <v>45833</v>
      </c>
      <c r="G160" s="24">
        <v>6</v>
      </c>
      <c r="H160" s="25" t="s">
        <v>620</v>
      </c>
      <c r="I160" s="25" t="s">
        <v>621</v>
      </c>
      <c r="J160" s="26" t="s">
        <v>622</v>
      </c>
      <c r="K160" s="24"/>
      <c r="L160" s="27" t="s">
        <v>50</v>
      </c>
      <c r="M160" s="27" t="s">
        <v>60</v>
      </c>
      <c r="N160" s="28"/>
      <c r="O160" s="28" t="s">
        <v>52</v>
      </c>
      <c r="P160" s="28" t="s">
        <v>52</v>
      </c>
      <c r="Q160" s="29"/>
      <c r="R160" s="28"/>
      <c r="S160" s="28"/>
    </row>
    <row r="161" customFormat="1" ht="29" customHeight="1" spans="1:19">
      <c r="A161" s="20">
        <v>160</v>
      </c>
      <c r="B161" s="41" t="s">
        <v>623</v>
      </c>
      <c r="C161" s="22" t="s">
        <v>140</v>
      </c>
      <c r="D161" s="22" t="s">
        <v>124</v>
      </c>
      <c r="E161" s="22" t="s">
        <v>529</v>
      </c>
      <c r="F161" s="23">
        <v>45834</v>
      </c>
      <c r="G161" s="24">
        <v>6</v>
      </c>
      <c r="H161" s="25" t="s">
        <v>624</v>
      </c>
      <c r="I161" s="25" t="s">
        <v>625</v>
      </c>
      <c r="J161" s="26" t="s">
        <v>234</v>
      </c>
      <c r="K161" s="24"/>
      <c r="L161" s="27" t="s">
        <v>50</v>
      </c>
      <c r="M161" s="27" t="s">
        <v>51</v>
      </c>
      <c r="N161" s="28"/>
      <c r="O161" s="28" t="s">
        <v>53</v>
      </c>
      <c r="P161" s="28" t="s">
        <v>52</v>
      </c>
      <c r="Q161" s="29"/>
      <c r="R161" s="28"/>
      <c r="S161" s="28"/>
    </row>
    <row r="162" customFormat="1" ht="29" customHeight="1" spans="1:19">
      <c r="A162" s="20">
        <v>161</v>
      </c>
      <c r="B162" s="41" t="s">
        <v>626</v>
      </c>
      <c r="C162" s="22" t="s">
        <v>627</v>
      </c>
      <c r="D162" s="22" t="s">
        <v>63</v>
      </c>
      <c r="E162" s="22" t="s">
        <v>539</v>
      </c>
      <c r="F162" s="23">
        <v>45835</v>
      </c>
      <c r="G162" s="24">
        <v>6</v>
      </c>
      <c r="H162" s="25" t="s">
        <v>628</v>
      </c>
      <c r="I162" s="25" t="s">
        <v>629</v>
      </c>
      <c r="J162" s="26" t="s">
        <v>106</v>
      </c>
      <c r="K162" s="24"/>
      <c r="L162" s="27" t="s">
        <v>107</v>
      </c>
      <c r="M162" s="27" t="s">
        <v>108</v>
      </c>
      <c r="N162" s="28"/>
      <c r="O162" s="28" t="s">
        <v>53</v>
      </c>
      <c r="P162" s="28" t="s">
        <v>53</v>
      </c>
      <c r="Q162" s="29"/>
      <c r="R162" s="28"/>
      <c r="S162" s="28"/>
    </row>
    <row r="163" customFormat="1" ht="29" customHeight="1" spans="1:19">
      <c r="A163" s="20">
        <v>162</v>
      </c>
      <c r="B163" s="21" t="s">
        <v>630</v>
      </c>
      <c r="C163" s="22" t="s">
        <v>631</v>
      </c>
      <c r="D163" s="22" t="s">
        <v>80</v>
      </c>
      <c r="E163" s="22" t="s">
        <v>462</v>
      </c>
      <c r="F163" s="23">
        <v>45836</v>
      </c>
      <c r="G163" s="24">
        <v>6</v>
      </c>
      <c r="H163" s="25" t="s">
        <v>632</v>
      </c>
      <c r="I163" s="25" t="s">
        <v>584</v>
      </c>
      <c r="J163" s="26" t="s">
        <v>59</v>
      </c>
      <c r="K163" s="24"/>
      <c r="L163" s="27" t="s">
        <v>50</v>
      </c>
      <c r="M163" s="27" t="s">
        <v>60</v>
      </c>
      <c r="N163" s="28"/>
      <c r="O163" s="28" t="s">
        <v>52</v>
      </c>
      <c r="P163" s="28" t="s">
        <v>52</v>
      </c>
      <c r="Q163" s="29"/>
      <c r="R163" s="28"/>
      <c r="S163" s="28"/>
    </row>
    <row r="164" customFormat="1" ht="29" customHeight="1" spans="1:19">
      <c r="A164" s="20">
        <v>163</v>
      </c>
      <c r="B164" s="21" t="s">
        <v>633</v>
      </c>
      <c r="C164" s="22" t="s">
        <v>586</v>
      </c>
      <c r="D164" s="22" t="s">
        <v>74</v>
      </c>
      <c r="E164" s="22" t="s">
        <v>462</v>
      </c>
      <c r="F164" s="23">
        <v>45831</v>
      </c>
      <c r="G164" s="24">
        <v>6</v>
      </c>
      <c r="H164" s="22" t="s">
        <v>634</v>
      </c>
      <c r="I164" s="25" t="s">
        <v>635</v>
      </c>
      <c r="J164" s="26" t="s">
        <v>170</v>
      </c>
      <c r="K164" s="24"/>
      <c r="L164" s="27" t="s">
        <v>50</v>
      </c>
      <c r="M164" s="27" t="s">
        <v>51</v>
      </c>
      <c r="N164" s="28"/>
      <c r="O164" s="28" t="s">
        <v>53</v>
      </c>
      <c r="P164" s="28" t="s">
        <v>52</v>
      </c>
      <c r="Q164" s="29"/>
      <c r="R164" s="28"/>
      <c r="S164" s="28"/>
    </row>
    <row r="165" customFormat="1" ht="29" customHeight="1" spans="1:19">
      <c r="A165" s="20">
        <v>164</v>
      </c>
      <c r="B165" s="41" t="s">
        <v>636</v>
      </c>
      <c r="C165" s="22" t="s">
        <v>473</v>
      </c>
      <c r="D165" s="22" t="s">
        <v>95</v>
      </c>
      <c r="E165" s="22" t="s">
        <v>539</v>
      </c>
      <c r="F165" s="23">
        <v>45838</v>
      </c>
      <c r="G165" s="24">
        <v>6</v>
      </c>
      <c r="H165" s="25" t="s">
        <v>637</v>
      </c>
      <c r="I165" s="25"/>
      <c r="J165" s="26" t="s">
        <v>59</v>
      </c>
      <c r="K165" s="24"/>
      <c r="L165" s="27" t="s">
        <v>50</v>
      </c>
      <c r="M165" s="27" t="s">
        <v>60</v>
      </c>
      <c r="N165" s="28"/>
      <c r="O165" s="28" t="s">
        <v>52</v>
      </c>
      <c r="P165" s="28" t="s">
        <v>52</v>
      </c>
      <c r="Q165" s="29"/>
      <c r="R165" s="28"/>
      <c r="S165" s="28"/>
    </row>
    <row r="166" customFormat="1" ht="29" customHeight="1" spans="1:19">
      <c r="A166" s="20">
        <v>165</v>
      </c>
      <c r="B166" s="21" t="s">
        <v>638</v>
      </c>
      <c r="C166" s="22" t="s">
        <v>45</v>
      </c>
      <c r="D166" s="22" t="s">
        <v>46</v>
      </c>
      <c r="E166" s="22" t="s">
        <v>529</v>
      </c>
      <c r="F166" s="23">
        <v>45838</v>
      </c>
      <c r="G166" s="24">
        <v>6</v>
      </c>
      <c r="H166" s="22" t="s">
        <v>639</v>
      </c>
      <c r="I166" s="25" t="s">
        <v>640</v>
      </c>
      <c r="J166" s="26" t="s">
        <v>77</v>
      </c>
      <c r="K166" s="24"/>
      <c r="L166" s="27" t="s">
        <v>50</v>
      </c>
      <c r="M166" s="27" t="s">
        <v>51</v>
      </c>
      <c r="N166" s="28"/>
      <c r="O166" s="28" t="s">
        <v>53</v>
      </c>
      <c r="P166" s="28" t="s">
        <v>52</v>
      </c>
      <c r="Q166" s="29"/>
      <c r="R166" s="28"/>
      <c r="S166" s="28"/>
    </row>
    <row r="167" customFormat="1" ht="29" customHeight="1" spans="1:19">
      <c r="A167" s="20">
        <v>166</v>
      </c>
      <c r="B167" s="21" t="s">
        <v>641</v>
      </c>
      <c r="C167" s="22" t="s">
        <v>642</v>
      </c>
      <c r="D167" s="22" t="s">
        <v>643</v>
      </c>
      <c r="E167" s="22" t="s">
        <v>539</v>
      </c>
      <c r="F167" s="23">
        <v>45834</v>
      </c>
      <c r="G167" s="24">
        <v>7</v>
      </c>
      <c r="H167" s="25" t="s">
        <v>644</v>
      </c>
      <c r="I167" s="25" t="s">
        <v>645</v>
      </c>
      <c r="J167" s="26" t="s">
        <v>127</v>
      </c>
      <c r="K167" s="24"/>
      <c r="L167" s="27" t="s">
        <v>107</v>
      </c>
      <c r="M167" s="27" t="s">
        <v>108</v>
      </c>
      <c r="N167" s="28"/>
      <c r="O167" s="28" t="s">
        <v>53</v>
      </c>
      <c r="P167" s="28" t="s">
        <v>53</v>
      </c>
      <c r="Q167" s="29"/>
      <c r="R167" s="28"/>
      <c r="S167" s="28"/>
    </row>
    <row r="168" customFormat="1" ht="29" customHeight="1" spans="1:19">
      <c r="A168" s="20">
        <v>167</v>
      </c>
      <c r="B168" s="21" t="s">
        <v>646</v>
      </c>
      <c r="C168" s="22" t="s">
        <v>110</v>
      </c>
      <c r="D168" s="22" t="s">
        <v>80</v>
      </c>
      <c r="E168" s="22" t="s">
        <v>462</v>
      </c>
      <c r="F168" s="23">
        <v>45837</v>
      </c>
      <c r="G168" s="24">
        <v>6</v>
      </c>
      <c r="H168" s="22" t="s">
        <v>647</v>
      </c>
      <c r="I168" s="25" t="s">
        <v>648</v>
      </c>
      <c r="J168" s="26" t="s">
        <v>106</v>
      </c>
      <c r="K168" s="24"/>
      <c r="L168" s="27" t="s">
        <v>107</v>
      </c>
      <c r="M168" s="27" t="s">
        <v>108</v>
      </c>
      <c r="N168" s="28"/>
      <c r="O168" s="28" t="s">
        <v>53</v>
      </c>
      <c r="P168" s="28" t="s">
        <v>53</v>
      </c>
      <c r="Q168" s="29"/>
      <c r="R168" s="28"/>
      <c r="S168" s="28"/>
    </row>
    <row r="169" customFormat="1" ht="29" customHeight="1" spans="1:19">
      <c r="A169" s="20">
        <v>168</v>
      </c>
      <c r="B169" s="48" t="s">
        <v>649</v>
      </c>
      <c r="C169" s="49" t="s">
        <v>273</v>
      </c>
      <c r="D169" s="49" t="s">
        <v>274</v>
      </c>
      <c r="E169" s="22" t="s">
        <v>539</v>
      </c>
      <c r="F169" s="50">
        <v>45817</v>
      </c>
      <c r="G169" s="27">
        <v>6</v>
      </c>
      <c r="H169" s="22" t="s">
        <v>650</v>
      </c>
      <c r="I169" s="25" t="s">
        <v>651</v>
      </c>
      <c r="J169" s="26" t="s">
        <v>127</v>
      </c>
      <c r="K169" s="24"/>
      <c r="L169" s="27" t="s">
        <v>50</v>
      </c>
      <c r="M169" s="27" t="s">
        <v>60</v>
      </c>
      <c r="N169" s="28"/>
      <c r="O169" s="28" t="s">
        <v>52</v>
      </c>
      <c r="P169" s="28" t="s">
        <v>52</v>
      </c>
      <c r="Q169" s="29" t="s">
        <v>652</v>
      </c>
      <c r="R169" s="28"/>
      <c r="S169" s="28"/>
    </row>
    <row r="170" customFormat="1" ht="29" customHeight="1" spans="1:19">
      <c r="A170" s="20">
        <v>169</v>
      </c>
      <c r="B170" s="51" t="s">
        <v>653</v>
      </c>
      <c r="C170" s="49" t="s">
        <v>114</v>
      </c>
      <c r="D170" s="49" t="s">
        <v>115</v>
      </c>
      <c r="E170" s="52" t="s">
        <v>539</v>
      </c>
      <c r="F170" s="50">
        <v>45806</v>
      </c>
      <c r="G170" s="27">
        <v>5</v>
      </c>
      <c r="H170" s="53" t="s">
        <v>654</v>
      </c>
      <c r="I170" s="53" t="s">
        <v>655</v>
      </c>
      <c r="J170" s="26" t="s">
        <v>106</v>
      </c>
      <c r="K170" s="42"/>
      <c r="L170" s="27" t="s">
        <v>107</v>
      </c>
      <c r="M170" s="27" t="s">
        <v>108</v>
      </c>
      <c r="N170" s="27"/>
      <c r="O170" s="54" t="s">
        <v>53</v>
      </c>
      <c r="P170" s="54" t="s">
        <v>53</v>
      </c>
      <c r="Q170" s="29"/>
      <c r="R170" s="28"/>
      <c r="S170" s="28"/>
    </row>
    <row r="171" ht="29" customHeight="1" spans="1:19">
      <c r="A171" s="20">
        <v>170</v>
      </c>
      <c r="B171" s="34" t="s">
        <v>656</v>
      </c>
      <c r="C171" s="35" t="s">
        <v>123</v>
      </c>
      <c r="D171" s="22" t="s">
        <v>124</v>
      </c>
      <c r="E171" s="22" t="s">
        <v>529</v>
      </c>
      <c r="F171" s="36">
        <v>45839</v>
      </c>
      <c r="G171" s="24">
        <v>7</v>
      </c>
      <c r="H171" s="37" t="s">
        <v>657</v>
      </c>
      <c r="I171" s="37" t="s">
        <v>658</v>
      </c>
      <c r="J171" s="26" t="s">
        <v>106</v>
      </c>
      <c r="K171" s="38"/>
      <c r="L171" s="24" t="s">
        <v>107</v>
      </c>
      <c r="M171" s="5" t="s">
        <v>108</v>
      </c>
      <c r="N171" s="5">
        <v>1500</v>
      </c>
      <c r="O171" s="5" t="s">
        <v>53</v>
      </c>
      <c r="P171" s="5" t="s">
        <v>53</v>
      </c>
      <c r="Q171" s="29"/>
      <c r="R171" s="28"/>
      <c r="S171" s="28"/>
    </row>
    <row r="172" ht="29" customHeight="1" spans="1:19">
      <c r="A172" s="20">
        <v>171</v>
      </c>
      <c r="B172" s="34" t="s">
        <v>659</v>
      </c>
      <c r="C172" s="35" t="s">
        <v>284</v>
      </c>
      <c r="D172" s="22" t="s">
        <v>155</v>
      </c>
      <c r="E172" s="22" t="s">
        <v>462</v>
      </c>
      <c r="F172" s="36">
        <v>45840</v>
      </c>
      <c r="G172" s="24">
        <v>7</v>
      </c>
      <c r="H172" s="37" t="s">
        <v>660</v>
      </c>
      <c r="I172" s="37" t="s">
        <v>661</v>
      </c>
      <c r="J172" s="26" t="s">
        <v>127</v>
      </c>
      <c r="K172" s="38"/>
      <c r="L172" s="24" t="s">
        <v>107</v>
      </c>
      <c r="M172" s="5" t="s">
        <v>108</v>
      </c>
      <c r="N172" s="5"/>
      <c r="O172" s="5" t="s">
        <v>53</v>
      </c>
      <c r="P172" s="5" t="s">
        <v>53</v>
      </c>
      <c r="Q172" s="29"/>
      <c r="R172" s="28"/>
      <c r="S172" s="28"/>
    </row>
    <row r="173" ht="29" customHeight="1" spans="1:19">
      <c r="A173" s="20">
        <v>172</v>
      </c>
      <c r="B173" s="34" t="s">
        <v>662</v>
      </c>
      <c r="C173" s="35" t="s">
        <v>619</v>
      </c>
      <c r="D173" s="22" t="s">
        <v>416</v>
      </c>
      <c r="E173" s="22" t="s">
        <v>529</v>
      </c>
      <c r="F173" s="36">
        <v>45840</v>
      </c>
      <c r="G173" s="24">
        <v>7</v>
      </c>
      <c r="H173" s="37" t="s">
        <v>663</v>
      </c>
      <c r="I173" s="37" t="s">
        <v>664</v>
      </c>
      <c r="J173" s="26" t="s">
        <v>59</v>
      </c>
      <c r="K173" s="38"/>
      <c r="L173" s="24" t="s">
        <v>50</v>
      </c>
      <c r="M173" s="5" t="s">
        <v>60</v>
      </c>
      <c r="N173" s="5"/>
      <c r="O173" s="5" t="s">
        <v>52</v>
      </c>
      <c r="P173" s="5" t="s">
        <v>52</v>
      </c>
      <c r="Q173" s="29"/>
      <c r="R173" s="28"/>
      <c r="S173" s="28"/>
    </row>
    <row r="174" ht="29" customHeight="1" spans="1:19">
      <c r="A174" s="20">
        <v>173</v>
      </c>
      <c r="B174" s="34" t="s">
        <v>626</v>
      </c>
      <c r="C174" s="35" t="s">
        <v>263</v>
      </c>
      <c r="D174" s="22" t="s">
        <v>63</v>
      </c>
      <c r="E174" s="22" t="s">
        <v>539</v>
      </c>
      <c r="F174" s="36">
        <v>45840</v>
      </c>
      <c r="G174" s="24">
        <v>7</v>
      </c>
      <c r="H174" s="37" t="s">
        <v>665</v>
      </c>
      <c r="I174" s="37" t="s">
        <v>666</v>
      </c>
      <c r="J174" s="26" t="s">
        <v>106</v>
      </c>
      <c r="K174" s="38"/>
      <c r="L174" s="24" t="s">
        <v>50</v>
      </c>
      <c r="M174" s="5" t="s">
        <v>51</v>
      </c>
      <c r="N174" s="5"/>
      <c r="O174" s="5" t="s">
        <v>53</v>
      </c>
      <c r="P174" s="5" t="s">
        <v>53</v>
      </c>
      <c r="Q174" s="29"/>
      <c r="R174" s="28"/>
      <c r="S174" s="28"/>
    </row>
    <row r="175" ht="29" customHeight="1" spans="1:19">
      <c r="A175" s="20">
        <v>174</v>
      </c>
      <c r="B175" s="34" t="s">
        <v>667</v>
      </c>
      <c r="C175" s="35" t="s">
        <v>284</v>
      </c>
      <c r="D175" s="22" t="s">
        <v>155</v>
      </c>
      <c r="E175" s="22" t="s">
        <v>462</v>
      </c>
      <c r="F175" s="36">
        <v>45840</v>
      </c>
      <c r="G175" s="24">
        <v>7</v>
      </c>
      <c r="H175" s="37" t="s">
        <v>668</v>
      </c>
      <c r="I175" s="37" t="s">
        <v>669</v>
      </c>
      <c r="J175" s="26" t="s">
        <v>127</v>
      </c>
      <c r="K175" s="38"/>
      <c r="L175" s="24" t="s">
        <v>107</v>
      </c>
      <c r="M175" s="5" t="s">
        <v>108</v>
      </c>
      <c r="N175" s="5"/>
      <c r="O175" s="5" t="s">
        <v>53</v>
      </c>
      <c r="P175" s="5" t="s">
        <v>53</v>
      </c>
      <c r="Q175" s="29"/>
      <c r="R175" s="28"/>
      <c r="S175" s="28"/>
    </row>
    <row r="176" ht="29" customHeight="1" spans="1:19">
      <c r="A176" s="20">
        <v>175</v>
      </c>
      <c r="B176" s="34" t="s">
        <v>670</v>
      </c>
      <c r="C176" s="35" t="s">
        <v>435</v>
      </c>
      <c r="D176" s="22" t="s">
        <v>63</v>
      </c>
      <c r="E176" s="22" t="s">
        <v>539</v>
      </c>
      <c r="F176" s="36">
        <v>45841</v>
      </c>
      <c r="G176" s="24">
        <v>7</v>
      </c>
      <c r="H176" s="37" t="s">
        <v>671</v>
      </c>
      <c r="I176" s="37" t="s">
        <v>672</v>
      </c>
      <c r="J176" s="26" t="s">
        <v>59</v>
      </c>
      <c r="K176" s="38"/>
      <c r="L176" s="24" t="s">
        <v>50</v>
      </c>
      <c r="M176" s="5" t="s">
        <v>60</v>
      </c>
      <c r="N176" s="5"/>
      <c r="O176" s="5" t="s">
        <v>52</v>
      </c>
      <c r="P176" s="5" t="s">
        <v>52</v>
      </c>
      <c r="Q176" s="29"/>
      <c r="R176" s="28"/>
      <c r="S176" s="28"/>
    </row>
    <row r="177" ht="29" customHeight="1" spans="1:19">
      <c r="A177" s="20">
        <v>176</v>
      </c>
      <c r="B177" s="34" t="s">
        <v>673</v>
      </c>
      <c r="C177" s="35" t="s">
        <v>292</v>
      </c>
      <c r="D177" s="22" t="s">
        <v>46</v>
      </c>
      <c r="E177" s="22" t="s">
        <v>529</v>
      </c>
      <c r="F177" s="36">
        <v>45841</v>
      </c>
      <c r="G177" s="24">
        <v>7</v>
      </c>
      <c r="H177" s="37" t="s">
        <v>674</v>
      </c>
      <c r="I177" s="37" t="s">
        <v>675</v>
      </c>
      <c r="J177" s="26" t="s">
        <v>234</v>
      </c>
      <c r="K177" s="38"/>
      <c r="L177" s="24" t="s">
        <v>50</v>
      </c>
      <c r="M177" s="5" t="s">
        <v>60</v>
      </c>
      <c r="N177" s="5"/>
      <c r="O177" s="5" t="s">
        <v>52</v>
      </c>
      <c r="P177" s="55" t="s">
        <v>52</v>
      </c>
      <c r="Q177" s="29"/>
      <c r="R177" s="28"/>
      <c r="S177" s="28"/>
    </row>
    <row r="178" ht="29" customHeight="1" spans="1:19">
      <c r="A178" s="20">
        <v>177</v>
      </c>
      <c r="B178" s="34" t="s">
        <v>676</v>
      </c>
      <c r="C178" s="35" t="s">
        <v>182</v>
      </c>
      <c r="D178" s="22" t="s">
        <v>183</v>
      </c>
      <c r="E178" s="22" t="s">
        <v>462</v>
      </c>
      <c r="F178" s="36">
        <v>45842</v>
      </c>
      <c r="G178" s="24">
        <v>7</v>
      </c>
      <c r="H178" s="37" t="s">
        <v>677</v>
      </c>
      <c r="I178" s="37" t="s">
        <v>678</v>
      </c>
      <c r="J178" s="26" t="s">
        <v>679</v>
      </c>
      <c r="K178" s="38"/>
      <c r="L178" s="24" t="s">
        <v>107</v>
      </c>
      <c r="M178" s="5" t="s">
        <v>108</v>
      </c>
      <c r="N178" s="5"/>
      <c r="O178" s="5" t="s">
        <v>53</v>
      </c>
      <c r="P178" s="5" t="s">
        <v>53</v>
      </c>
      <c r="Q178" s="29"/>
      <c r="R178" s="28"/>
      <c r="S178" s="28"/>
    </row>
    <row r="179" ht="29" customHeight="1" spans="1:19">
      <c r="A179" s="20">
        <v>178</v>
      </c>
      <c r="B179" s="34" t="s">
        <v>680</v>
      </c>
      <c r="C179" s="35" t="s">
        <v>85</v>
      </c>
      <c r="D179" s="22" t="s">
        <v>63</v>
      </c>
      <c r="E179" s="22" t="s">
        <v>539</v>
      </c>
      <c r="F179" s="36">
        <v>45841</v>
      </c>
      <c r="G179" s="24">
        <v>7</v>
      </c>
      <c r="H179" s="37" t="s">
        <v>681</v>
      </c>
      <c r="I179" s="37" t="s">
        <v>682</v>
      </c>
      <c r="J179" s="26" t="s">
        <v>106</v>
      </c>
      <c r="K179" s="38"/>
      <c r="L179" s="24" t="s">
        <v>107</v>
      </c>
      <c r="M179" s="5" t="s">
        <v>108</v>
      </c>
      <c r="N179" s="5"/>
      <c r="O179" s="5" t="s">
        <v>53</v>
      </c>
      <c r="P179" s="5" t="s">
        <v>53</v>
      </c>
      <c r="Q179" s="29"/>
      <c r="R179" s="28"/>
      <c r="S179" s="28"/>
    </row>
    <row r="180" ht="29" customHeight="1" spans="1:19">
      <c r="A180" s="20">
        <v>179</v>
      </c>
      <c r="B180" s="34" t="s">
        <v>683</v>
      </c>
      <c r="C180" s="35" t="s">
        <v>518</v>
      </c>
      <c r="D180" s="22" t="s">
        <v>103</v>
      </c>
      <c r="E180" s="22" t="s">
        <v>462</v>
      </c>
      <c r="F180" s="36">
        <v>45844</v>
      </c>
      <c r="G180" s="24">
        <v>7</v>
      </c>
      <c r="H180" s="56" t="s">
        <v>684</v>
      </c>
      <c r="I180" s="37" t="s">
        <v>685</v>
      </c>
      <c r="J180" s="26" t="s">
        <v>325</v>
      </c>
      <c r="K180" s="38"/>
      <c r="L180" s="24" t="s">
        <v>107</v>
      </c>
      <c r="M180" s="5" t="s">
        <v>108</v>
      </c>
      <c r="N180" s="5"/>
      <c r="O180" s="5" t="s">
        <v>53</v>
      </c>
      <c r="P180" s="5" t="s">
        <v>53</v>
      </c>
      <c r="Q180" s="29"/>
      <c r="R180" s="28"/>
      <c r="S180" s="28"/>
    </row>
    <row r="181" ht="29" customHeight="1" spans="1:19">
      <c r="A181" s="20">
        <v>180</v>
      </c>
      <c r="B181" s="34" t="s">
        <v>686</v>
      </c>
      <c r="C181" s="35" t="s">
        <v>150</v>
      </c>
      <c r="D181" s="22" t="s">
        <v>90</v>
      </c>
      <c r="E181" s="22" t="s">
        <v>529</v>
      </c>
      <c r="F181" s="36">
        <v>45844</v>
      </c>
      <c r="G181" s="24">
        <v>7</v>
      </c>
      <c r="H181" s="37" t="s">
        <v>687</v>
      </c>
      <c r="I181" s="37" t="s">
        <v>678</v>
      </c>
      <c r="J181" s="26" t="s">
        <v>106</v>
      </c>
      <c r="K181" s="38"/>
      <c r="L181" s="24" t="s">
        <v>107</v>
      </c>
      <c r="M181" s="5" t="s">
        <v>108</v>
      </c>
      <c r="N181" s="5"/>
      <c r="O181" s="5" t="s">
        <v>53</v>
      </c>
      <c r="P181" s="5" t="s">
        <v>53</v>
      </c>
      <c r="Q181" s="29"/>
      <c r="R181" s="28"/>
      <c r="S181" s="28"/>
    </row>
    <row r="182" ht="29" customHeight="1" spans="1:19">
      <c r="A182" s="20">
        <v>181</v>
      </c>
      <c r="B182" s="34" t="s">
        <v>688</v>
      </c>
      <c r="C182" s="35" t="s">
        <v>469</v>
      </c>
      <c r="D182" s="22" t="s">
        <v>237</v>
      </c>
      <c r="E182" s="22" t="s">
        <v>462</v>
      </c>
      <c r="F182" s="36">
        <v>45841</v>
      </c>
      <c r="G182" s="24">
        <v>7</v>
      </c>
      <c r="H182" s="37" t="s">
        <v>689</v>
      </c>
      <c r="I182" s="37" t="s">
        <v>678</v>
      </c>
      <c r="J182" s="26" t="s">
        <v>59</v>
      </c>
      <c r="K182" s="38"/>
      <c r="L182" s="24" t="s">
        <v>50</v>
      </c>
      <c r="M182" s="5" t="s">
        <v>60</v>
      </c>
      <c r="N182" s="5"/>
      <c r="O182" s="5" t="s">
        <v>52</v>
      </c>
      <c r="P182" s="5" t="s">
        <v>52</v>
      </c>
      <c r="Q182" s="29"/>
      <c r="R182" s="28"/>
      <c r="S182" s="28"/>
    </row>
    <row r="183" ht="29" customHeight="1" spans="1:19">
      <c r="A183" s="20">
        <v>182</v>
      </c>
      <c r="B183" s="34" t="s">
        <v>690</v>
      </c>
      <c r="C183" s="35" t="s">
        <v>193</v>
      </c>
      <c r="D183" s="22" t="s">
        <v>124</v>
      </c>
      <c r="E183" s="22" t="s">
        <v>529</v>
      </c>
      <c r="F183" s="36">
        <v>45844</v>
      </c>
      <c r="G183" s="24">
        <v>7</v>
      </c>
      <c r="H183" s="37" t="s">
        <v>691</v>
      </c>
      <c r="I183" s="37" t="s">
        <v>692</v>
      </c>
      <c r="J183" s="26" t="s">
        <v>679</v>
      </c>
      <c r="K183" s="38"/>
      <c r="L183" s="24" t="s">
        <v>107</v>
      </c>
      <c r="M183" s="5" t="s">
        <v>108</v>
      </c>
      <c r="N183" s="5"/>
      <c r="O183" s="5" t="s">
        <v>53</v>
      </c>
      <c r="P183" s="5" t="s">
        <v>53</v>
      </c>
      <c r="Q183" s="29"/>
      <c r="R183" s="28"/>
      <c r="S183" s="28"/>
    </row>
    <row r="184" ht="29" customHeight="1" spans="1:19">
      <c r="A184" s="20">
        <v>183</v>
      </c>
      <c r="B184" s="34" t="s">
        <v>693</v>
      </c>
      <c r="C184" s="35" t="s">
        <v>193</v>
      </c>
      <c r="D184" s="22" t="s">
        <v>124</v>
      </c>
      <c r="E184" s="22" t="s">
        <v>529</v>
      </c>
      <c r="F184" s="36">
        <v>45845</v>
      </c>
      <c r="G184" s="24">
        <v>7</v>
      </c>
      <c r="H184" s="37" t="s">
        <v>694</v>
      </c>
      <c r="I184" s="37" t="s">
        <v>692</v>
      </c>
      <c r="J184" s="26" t="s">
        <v>679</v>
      </c>
      <c r="K184" s="38"/>
      <c r="L184" s="24" t="s">
        <v>107</v>
      </c>
      <c r="M184" s="5" t="s">
        <v>108</v>
      </c>
      <c r="N184" s="5"/>
      <c r="O184" s="5" t="s">
        <v>53</v>
      </c>
      <c r="P184" s="5" t="s">
        <v>53</v>
      </c>
      <c r="Q184" s="29"/>
      <c r="R184" s="28"/>
      <c r="S184" s="28"/>
    </row>
    <row r="185" ht="29" customHeight="1" spans="1:19">
      <c r="A185" s="20">
        <v>184</v>
      </c>
      <c r="B185" s="34" t="s">
        <v>695</v>
      </c>
      <c r="C185" s="35" t="s">
        <v>193</v>
      </c>
      <c r="D185" s="22" t="s">
        <v>124</v>
      </c>
      <c r="E185" s="22" t="s">
        <v>529</v>
      </c>
      <c r="F185" s="36">
        <v>45844</v>
      </c>
      <c r="G185" s="24">
        <v>7</v>
      </c>
      <c r="H185" s="37" t="s">
        <v>696</v>
      </c>
      <c r="I185" s="37" t="s">
        <v>692</v>
      </c>
      <c r="J185" s="26" t="s">
        <v>679</v>
      </c>
      <c r="K185" s="38"/>
      <c r="L185" s="24" t="s">
        <v>107</v>
      </c>
      <c r="M185" s="5" t="s">
        <v>108</v>
      </c>
      <c r="N185" s="5"/>
      <c r="O185" s="5" t="s">
        <v>53</v>
      </c>
      <c r="P185" s="5" t="s">
        <v>53</v>
      </c>
      <c r="Q185" s="29"/>
      <c r="R185" s="28"/>
      <c r="S185" s="28"/>
    </row>
    <row r="186" ht="29" customHeight="1" spans="1:19">
      <c r="A186" s="20">
        <v>185</v>
      </c>
      <c r="B186" s="34" t="s">
        <v>697</v>
      </c>
      <c r="C186" s="35" t="s">
        <v>94</v>
      </c>
      <c r="D186" s="22" t="s">
        <v>95</v>
      </c>
      <c r="E186" s="22" t="s">
        <v>539</v>
      </c>
      <c r="F186" s="36">
        <v>45845</v>
      </c>
      <c r="G186" s="24">
        <v>7</v>
      </c>
      <c r="H186" s="37" t="s">
        <v>698</v>
      </c>
      <c r="I186" s="37" t="s">
        <v>699</v>
      </c>
      <c r="J186" s="26" t="s">
        <v>700</v>
      </c>
      <c r="K186" s="38"/>
      <c r="L186" s="24" t="s">
        <v>50</v>
      </c>
      <c r="M186" s="5" t="s">
        <v>60</v>
      </c>
      <c r="N186" s="5"/>
      <c r="O186" s="5" t="s">
        <v>52</v>
      </c>
      <c r="P186" s="5" t="s">
        <v>52</v>
      </c>
      <c r="Q186" s="29"/>
      <c r="R186" s="28"/>
      <c r="S186" s="28"/>
    </row>
    <row r="187" ht="29" customHeight="1" spans="1:19">
      <c r="A187" s="20">
        <v>186</v>
      </c>
      <c r="B187" s="34" t="s">
        <v>701</v>
      </c>
      <c r="C187" s="35" t="s">
        <v>355</v>
      </c>
      <c r="D187" s="22" t="s">
        <v>227</v>
      </c>
      <c r="E187" s="22" t="s">
        <v>539</v>
      </c>
      <c r="F187" s="36">
        <v>45846</v>
      </c>
      <c r="G187" s="24">
        <v>7</v>
      </c>
      <c r="H187" s="57" t="s">
        <v>702</v>
      </c>
      <c r="I187" s="37" t="s">
        <v>682</v>
      </c>
      <c r="J187" s="26" t="s">
        <v>679</v>
      </c>
      <c r="K187" s="26"/>
      <c r="L187" s="24" t="s">
        <v>107</v>
      </c>
      <c r="M187" s="5" t="s">
        <v>108</v>
      </c>
      <c r="N187" s="5"/>
      <c r="O187" s="5" t="s">
        <v>53</v>
      </c>
      <c r="P187" s="5" t="s">
        <v>53</v>
      </c>
      <c r="Q187" s="29"/>
      <c r="R187" s="28"/>
      <c r="S187" s="28"/>
    </row>
    <row r="188" ht="29" customHeight="1" spans="1:19">
      <c r="A188" s="20">
        <v>187</v>
      </c>
      <c r="B188" s="34" t="s">
        <v>703</v>
      </c>
      <c r="C188" s="35" t="s">
        <v>704</v>
      </c>
      <c r="D188" s="22" t="s">
        <v>316</v>
      </c>
      <c r="E188" s="22" t="s">
        <v>539</v>
      </c>
      <c r="F188" s="36">
        <v>45847</v>
      </c>
      <c r="G188" s="24">
        <v>7</v>
      </c>
      <c r="H188" s="56" t="s">
        <v>705</v>
      </c>
      <c r="I188" s="37" t="s">
        <v>706</v>
      </c>
      <c r="J188" s="26" t="s">
        <v>700</v>
      </c>
      <c r="K188" s="26"/>
      <c r="L188" s="24" t="s">
        <v>107</v>
      </c>
      <c r="M188" s="5" t="s">
        <v>108</v>
      </c>
      <c r="N188" s="5"/>
      <c r="O188" s="5" t="s">
        <v>53</v>
      </c>
      <c r="P188" s="5" t="s">
        <v>53</v>
      </c>
      <c r="Q188" s="29"/>
      <c r="R188" s="28"/>
      <c r="S188" s="28"/>
    </row>
    <row r="189" ht="29" customHeight="1" spans="1:19">
      <c r="A189" s="20">
        <v>188</v>
      </c>
      <c r="B189" s="34" t="s">
        <v>707</v>
      </c>
      <c r="C189" s="35" t="s">
        <v>193</v>
      </c>
      <c r="D189" s="22" t="s">
        <v>124</v>
      </c>
      <c r="E189" s="22" t="s">
        <v>529</v>
      </c>
      <c r="F189" s="36">
        <v>45847</v>
      </c>
      <c r="G189" s="24">
        <v>7</v>
      </c>
      <c r="H189" s="37" t="s">
        <v>708</v>
      </c>
      <c r="I189" s="37" t="s">
        <v>709</v>
      </c>
      <c r="J189" s="26" t="s">
        <v>59</v>
      </c>
      <c r="K189" s="38"/>
      <c r="L189" s="24" t="s">
        <v>50</v>
      </c>
      <c r="M189" s="5" t="s">
        <v>60</v>
      </c>
      <c r="N189" s="5"/>
      <c r="O189" s="5" t="s">
        <v>52</v>
      </c>
      <c r="P189" s="5" t="s">
        <v>52</v>
      </c>
      <c r="Q189" s="29"/>
      <c r="R189" s="28"/>
      <c r="S189" s="28"/>
    </row>
    <row r="190" ht="29" customHeight="1" spans="1:19">
      <c r="A190" s="20">
        <v>189</v>
      </c>
      <c r="B190" s="34" t="s">
        <v>710</v>
      </c>
      <c r="C190" s="35" t="s">
        <v>167</v>
      </c>
      <c r="D190" s="22" t="s">
        <v>74</v>
      </c>
      <c r="E190" s="22" t="s">
        <v>462</v>
      </c>
      <c r="F190" s="36">
        <v>45848</v>
      </c>
      <c r="G190" s="24">
        <v>7</v>
      </c>
      <c r="H190" s="37" t="s">
        <v>711</v>
      </c>
      <c r="I190" s="37" t="s">
        <v>712</v>
      </c>
      <c r="J190" s="26" t="s">
        <v>66</v>
      </c>
      <c r="K190" s="38"/>
      <c r="L190" s="24" t="s">
        <v>50</v>
      </c>
      <c r="M190" s="5" t="s">
        <v>51</v>
      </c>
      <c r="N190" s="5"/>
      <c r="O190" s="5" t="s">
        <v>53</v>
      </c>
      <c r="P190" s="55" t="s">
        <v>52</v>
      </c>
      <c r="Q190" s="29"/>
      <c r="R190" s="28"/>
      <c r="S190" s="28"/>
    </row>
    <row r="191" ht="29" customHeight="1" spans="1:19">
      <c r="A191" s="20">
        <v>190</v>
      </c>
      <c r="B191" s="34" t="s">
        <v>713</v>
      </c>
      <c r="C191" s="35" t="s">
        <v>714</v>
      </c>
      <c r="D191" s="22" t="s">
        <v>63</v>
      </c>
      <c r="E191" s="22" t="s">
        <v>539</v>
      </c>
      <c r="F191" s="36">
        <v>45847</v>
      </c>
      <c r="G191" s="24">
        <v>7</v>
      </c>
      <c r="H191" s="37" t="s">
        <v>715</v>
      </c>
      <c r="I191" s="37" t="s">
        <v>666</v>
      </c>
      <c r="J191" s="26" t="s">
        <v>66</v>
      </c>
      <c r="K191" s="38"/>
      <c r="L191" s="24" t="s">
        <v>50</v>
      </c>
      <c r="M191" s="5" t="s">
        <v>51</v>
      </c>
      <c r="N191" s="5"/>
      <c r="O191" s="5" t="s">
        <v>53</v>
      </c>
      <c r="P191" s="55" t="s">
        <v>52</v>
      </c>
      <c r="Q191" s="29"/>
      <c r="R191" s="28"/>
      <c r="S191" s="28"/>
    </row>
    <row r="192" ht="29" customHeight="1" spans="1:19">
      <c r="A192" s="20">
        <v>191</v>
      </c>
      <c r="B192" s="34" t="s">
        <v>716</v>
      </c>
      <c r="C192" s="35" t="s">
        <v>172</v>
      </c>
      <c r="D192" s="22" t="s">
        <v>155</v>
      </c>
      <c r="E192" s="22" t="s">
        <v>462</v>
      </c>
      <c r="F192" s="36">
        <v>45849</v>
      </c>
      <c r="G192" s="24">
        <v>7</v>
      </c>
      <c r="H192" s="56" t="s">
        <v>717</v>
      </c>
      <c r="I192" s="37" t="s">
        <v>718</v>
      </c>
      <c r="J192" s="26" t="s">
        <v>234</v>
      </c>
      <c r="K192" s="38"/>
      <c r="L192" s="24" t="s">
        <v>50</v>
      </c>
      <c r="M192" s="5" t="s">
        <v>51</v>
      </c>
      <c r="N192" s="5"/>
      <c r="O192" s="5" t="s">
        <v>53</v>
      </c>
      <c r="P192" s="5" t="s">
        <v>52</v>
      </c>
      <c r="Q192" s="29"/>
      <c r="R192" s="28"/>
      <c r="S192" s="28"/>
    </row>
    <row r="193" ht="29" customHeight="1" spans="1:19">
      <c r="A193" s="20">
        <v>192</v>
      </c>
      <c r="B193" s="34" t="s">
        <v>719</v>
      </c>
      <c r="C193" s="35" t="s">
        <v>236</v>
      </c>
      <c r="D193" s="22" t="s">
        <v>237</v>
      </c>
      <c r="E193" s="22" t="s">
        <v>462</v>
      </c>
      <c r="F193" s="36">
        <v>45849</v>
      </c>
      <c r="G193" s="24">
        <v>7</v>
      </c>
      <c r="H193" s="37" t="s">
        <v>720</v>
      </c>
      <c r="I193" s="37" t="s">
        <v>721</v>
      </c>
      <c r="J193" s="26" t="s">
        <v>106</v>
      </c>
      <c r="K193" s="38"/>
      <c r="L193" s="24" t="s">
        <v>107</v>
      </c>
      <c r="M193" s="5" t="s">
        <v>108</v>
      </c>
      <c r="N193" s="5"/>
      <c r="O193" s="5" t="s">
        <v>53</v>
      </c>
      <c r="P193" s="5" t="s">
        <v>53</v>
      </c>
      <c r="Q193" s="29"/>
      <c r="R193" s="28"/>
      <c r="S193" s="28"/>
    </row>
    <row r="194" ht="29" customHeight="1" spans="1:19">
      <c r="A194" s="20">
        <v>193</v>
      </c>
      <c r="B194" s="48" t="s">
        <v>722</v>
      </c>
      <c r="C194" s="49" t="s">
        <v>273</v>
      </c>
      <c r="D194" s="52" t="s">
        <v>274</v>
      </c>
      <c r="E194" s="52" t="e">
        <f>VLOOKUP(C194,#REF!,3,0)</f>
        <v>#REF!</v>
      </c>
      <c r="F194" s="50">
        <v>45850</v>
      </c>
      <c r="G194" s="27">
        <v>8</v>
      </c>
      <c r="H194" s="53" t="s">
        <v>723</v>
      </c>
      <c r="I194" s="53" t="s">
        <v>724</v>
      </c>
      <c r="J194" s="26" t="s">
        <v>325</v>
      </c>
      <c r="K194" s="26"/>
      <c r="L194" s="27"/>
      <c r="M194" s="28"/>
      <c r="N194" s="28"/>
      <c r="O194" s="5" t="s">
        <v>53</v>
      </c>
      <c r="P194" s="5" t="s">
        <v>53</v>
      </c>
      <c r="Q194" s="29"/>
      <c r="R194" s="28"/>
      <c r="S194" s="28"/>
    </row>
    <row r="195" ht="29" customHeight="1" spans="1:19">
      <c r="A195" s="20">
        <v>194</v>
      </c>
      <c r="B195" s="34" t="s">
        <v>725</v>
      </c>
      <c r="C195" s="35" t="s">
        <v>197</v>
      </c>
      <c r="D195" s="22" t="s">
        <v>103</v>
      </c>
      <c r="E195" s="22" t="s">
        <v>462</v>
      </c>
      <c r="F195" s="36">
        <v>45850</v>
      </c>
      <c r="G195" s="24">
        <v>7</v>
      </c>
      <c r="H195" s="37" t="s">
        <v>726</v>
      </c>
      <c r="I195" s="37" t="s">
        <v>661</v>
      </c>
      <c r="J195" s="26" t="s">
        <v>66</v>
      </c>
      <c r="K195" s="38"/>
      <c r="L195" s="24" t="s">
        <v>50</v>
      </c>
      <c r="M195" s="5" t="s">
        <v>727</v>
      </c>
      <c r="N195" s="5"/>
      <c r="O195" s="5" t="s">
        <v>52</v>
      </c>
      <c r="P195" s="55" t="s">
        <v>52</v>
      </c>
      <c r="Q195" s="29"/>
      <c r="R195" s="28"/>
      <c r="S195" s="28"/>
    </row>
    <row r="196" ht="29" customHeight="1" spans="1:19">
      <c r="A196" s="20">
        <v>195</v>
      </c>
      <c r="B196" s="34" t="s">
        <v>728</v>
      </c>
      <c r="C196" s="35" t="s">
        <v>729</v>
      </c>
      <c r="D196" s="22" t="s">
        <v>80</v>
      </c>
      <c r="E196" s="22" t="s">
        <v>462</v>
      </c>
      <c r="F196" s="36">
        <v>45852</v>
      </c>
      <c r="G196" s="24">
        <v>7</v>
      </c>
      <c r="H196" s="37" t="s">
        <v>730</v>
      </c>
      <c r="I196" s="37" t="s">
        <v>721</v>
      </c>
      <c r="J196" s="26" t="s">
        <v>59</v>
      </c>
      <c r="K196" s="38"/>
      <c r="L196" s="24" t="s">
        <v>50</v>
      </c>
      <c r="M196" s="5" t="s">
        <v>60</v>
      </c>
      <c r="N196" s="5"/>
      <c r="O196" s="5" t="s">
        <v>52</v>
      </c>
      <c r="P196" s="5" t="s">
        <v>52</v>
      </c>
      <c r="Q196" s="29"/>
      <c r="R196" s="28"/>
      <c r="S196" s="28"/>
    </row>
    <row r="197" ht="29" customHeight="1" spans="1:19">
      <c r="A197" s="20">
        <v>196</v>
      </c>
      <c r="B197" s="34" t="s">
        <v>731</v>
      </c>
      <c r="C197" s="35" t="s">
        <v>415</v>
      </c>
      <c r="D197" s="22" t="s">
        <v>416</v>
      </c>
      <c r="E197" s="22" t="s">
        <v>529</v>
      </c>
      <c r="F197" s="36">
        <v>45852</v>
      </c>
      <c r="G197" s="24">
        <v>7</v>
      </c>
      <c r="H197" s="37" t="s">
        <v>732</v>
      </c>
      <c r="I197" s="37" t="s">
        <v>661</v>
      </c>
      <c r="J197" s="26" t="s">
        <v>158</v>
      </c>
      <c r="K197" s="38"/>
      <c r="L197" s="24" t="s">
        <v>50</v>
      </c>
      <c r="M197" s="5" t="s">
        <v>60</v>
      </c>
      <c r="N197" s="5"/>
      <c r="O197" s="5" t="s">
        <v>52</v>
      </c>
      <c r="P197" s="5" t="s">
        <v>52</v>
      </c>
      <c r="Q197" s="29"/>
      <c r="R197" s="28"/>
      <c r="S197" s="28"/>
    </row>
    <row r="198" ht="29" customHeight="1" spans="1:19">
      <c r="A198" s="20">
        <v>197</v>
      </c>
      <c r="B198" s="34" t="s">
        <v>733</v>
      </c>
      <c r="C198" s="35" t="s">
        <v>172</v>
      </c>
      <c r="D198" s="22" t="s">
        <v>155</v>
      </c>
      <c r="E198" s="22" t="s">
        <v>462</v>
      </c>
      <c r="F198" s="36">
        <v>45852</v>
      </c>
      <c r="G198" s="24">
        <v>7</v>
      </c>
      <c r="H198" s="37" t="s">
        <v>734</v>
      </c>
      <c r="I198" s="37" t="s">
        <v>537</v>
      </c>
      <c r="J198" s="26" t="s">
        <v>59</v>
      </c>
      <c r="K198" s="38"/>
      <c r="L198" s="24" t="s">
        <v>50</v>
      </c>
      <c r="M198" s="5" t="s">
        <v>60</v>
      </c>
      <c r="N198" s="5"/>
      <c r="O198" s="5" t="s">
        <v>52</v>
      </c>
      <c r="P198" s="5" t="s">
        <v>52</v>
      </c>
      <c r="Q198" s="29"/>
      <c r="R198" s="28"/>
      <c r="S198" s="28"/>
    </row>
    <row r="199" ht="29" customHeight="1" spans="1:19">
      <c r="A199" s="20">
        <v>198</v>
      </c>
      <c r="B199" s="34" t="s">
        <v>735</v>
      </c>
      <c r="C199" s="35" t="s">
        <v>736</v>
      </c>
      <c r="D199" s="22" t="s">
        <v>115</v>
      </c>
      <c r="E199" s="22" t="s">
        <v>539</v>
      </c>
      <c r="F199" s="36">
        <v>45854</v>
      </c>
      <c r="G199" s="24">
        <v>7</v>
      </c>
      <c r="H199" s="37" t="s">
        <v>737</v>
      </c>
      <c r="I199" s="37" t="s">
        <v>738</v>
      </c>
      <c r="J199" s="26" t="s">
        <v>325</v>
      </c>
      <c r="K199" s="38"/>
      <c r="L199" s="24" t="s">
        <v>107</v>
      </c>
      <c r="M199" s="5" t="s">
        <v>108</v>
      </c>
      <c r="N199" s="5"/>
      <c r="O199" s="5" t="s">
        <v>53</v>
      </c>
      <c r="P199" s="5" t="s">
        <v>53</v>
      </c>
      <c r="Q199" s="29"/>
      <c r="R199" s="28"/>
      <c r="S199" s="28"/>
    </row>
    <row r="200" ht="29" customHeight="1" spans="1:19">
      <c r="A200" s="20">
        <v>199</v>
      </c>
      <c r="B200" s="34" t="s">
        <v>739</v>
      </c>
      <c r="C200" s="35" t="s">
        <v>236</v>
      </c>
      <c r="D200" s="22" t="s">
        <v>237</v>
      </c>
      <c r="E200" s="22" t="s">
        <v>462</v>
      </c>
      <c r="F200" s="36">
        <v>45854</v>
      </c>
      <c r="G200" s="24">
        <v>7</v>
      </c>
      <c r="H200" s="37" t="s">
        <v>740</v>
      </c>
      <c r="I200" s="37" t="s">
        <v>741</v>
      </c>
      <c r="J200" s="26" t="s">
        <v>127</v>
      </c>
      <c r="K200" s="38"/>
      <c r="L200" s="24" t="s">
        <v>107</v>
      </c>
      <c r="M200" s="5" t="s">
        <v>108</v>
      </c>
      <c r="N200" s="5"/>
      <c r="O200" s="5" t="s">
        <v>53</v>
      </c>
      <c r="P200" s="5" t="s">
        <v>53</v>
      </c>
      <c r="Q200" s="29"/>
      <c r="R200" s="28"/>
      <c r="S200" s="28"/>
    </row>
    <row r="201" ht="29" customHeight="1" spans="1:19">
      <c r="A201" s="20">
        <v>200</v>
      </c>
      <c r="B201" s="34" t="s">
        <v>742</v>
      </c>
      <c r="C201" s="35" t="s">
        <v>273</v>
      </c>
      <c r="D201" s="22" t="s">
        <v>274</v>
      </c>
      <c r="E201" s="22" t="s">
        <v>539</v>
      </c>
      <c r="F201" s="36">
        <v>45855</v>
      </c>
      <c r="G201" s="24">
        <v>7</v>
      </c>
      <c r="H201" s="37" t="s">
        <v>743</v>
      </c>
      <c r="I201" s="37" t="s">
        <v>682</v>
      </c>
      <c r="J201" s="26" t="s">
        <v>679</v>
      </c>
      <c r="K201" s="38"/>
      <c r="L201" s="24" t="s">
        <v>107</v>
      </c>
      <c r="M201" s="5" t="s">
        <v>108</v>
      </c>
      <c r="N201" s="5"/>
      <c r="O201" s="5" t="s">
        <v>53</v>
      </c>
      <c r="P201" s="5" t="s">
        <v>53</v>
      </c>
      <c r="Q201" s="29"/>
      <c r="R201" s="28"/>
      <c r="S201" s="28"/>
    </row>
    <row r="202" ht="29" customHeight="1" spans="1:19">
      <c r="A202" s="20">
        <v>201</v>
      </c>
      <c r="B202" s="34" t="s">
        <v>744</v>
      </c>
      <c r="C202" s="35" t="s">
        <v>704</v>
      </c>
      <c r="D202" s="22" t="s">
        <v>316</v>
      </c>
      <c r="E202" s="22" t="s">
        <v>539</v>
      </c>
      <c r="F202" s="36">
        <v>45855</v>
      </c>
      <c r="G202" s="24">
        <v>7</v>
      </c>
      <c r="H202" s="37" t="s">
        <v>745</v>
      </c>
      <c r="I202" s="37" t="s">
        <v>721</v>
      </c>
      <c r="J202" s="26" t="s">
        <v>106</v>
      </c>
      <c r="K202" s="26"/>
      <c r="L202" s="24" t="s">
        <v>107</v>
      </c>
      <c r="M202" s="5" t="s">
        <v>108</v>
      </c>
      <c r="N202" s="5"/>
      <c r="O202" s="5" t="s">
        <v>53</v>
      </c>
      <c r="P202" s="5" t="s">
        <v>53</v>
      </c>
      <c r="Q202" s="29"/>
      <c r="R202" s="28"/>
      <c r="S202" s="28"/>
    </row>
    <row r="203" ht="29" customHeight="1" spans="1:19">
      <c r="A203" s="20">
        <v>202</v>
      </c>
      <c r="B203" s="34" t="s">
        <v>746</v>
      </c>
      <c r="C203" s="35" t="s">
        <v>273</v>
      </c>
      <c r="D203" s="22" t="s">
        <v>274</v>
      </c>
      <c r="E203" s="22" t="s">
        <v>539</v>
      </c>
      <c r="F203" s="36">
        <v>45854</v>
      </c>
      <c r="G203" s="24">
        <v>7</v>
      </c>
      <c r="H203" s="37" t="s">
        <v>747</v>
      </c>
      <c r="I203" s="37" t="s">
        <v>699</v>
      </c>
      <c r="J203" s="26" t="s">
        <v>679</v>
      </c>
      <c r="K203" s="38"/>
      <c r="L203" s="24" t="s">
        <v>107</v>
      </c>
      <c r="M203" s="5" t="s">
        <v>108</v>
      </c>
      <c r="N203" s="5"/>
      <c r="O203" s="5" t="s">
        <v>53</v>
      </c>
      <c r="P203" s="5" t="s">
        <v>53</v>
      </c>
      <c r="Q203" s="29"/>
      <c r="R203" s="28"/>
      <c r="S203" s="28"/>
    </row>
    <row r="204" ht="29" customHeight="1" spans="1:19">
      <c r="A204" s="20">
        <v>203</v>
      </c>
      <c r="B204" s="34" t="s">
        <v>748</v>
      </c>
      <c r="C204" s="35" t="s">
        <v>273</v>
      </c>
      <c r="D204" s="22" t="s">
        <v>274</v>
      </c>
      <c r="E204" s="22" t="s">
        <v>539</v>
      </c>
      <c r="F204" s="36">
        <v>45852</v>
      </c>
      <c r="G204" s="24">
        <v>7</v>
      </c>
      <c r="H204" s="37" t="s">
        <v>749</v>
      </c>
      <c r="I204" s="37" t="s">
        <v>750</v>
      </c>
      <c r="J204" s="26" t="s">
        <v>679</v>
      </c>
      <c r="K204" s="38"/>
      <c r="L204" s="24" t="s">
        <v>107</v>
      </c>
      <c r="M204" s="5" t="s">
        <v>108</v>
      </c>
      <c r="N204" s="5"/>
      <c r="O204" s="5" t="s">
        <v>53</v>
      </c>
      <c r="P204" s="5" t="s">
        <v>53</v>
      </c>
      <c r="Q204" s="29"/>
      <c r="R204" s="28"/>
      <c r="S204" s="28"/>
    </row>
    <row r="205" ht="29" customHeight="1" spans="1:19">
      <c r="A205" s="20">
        <v>204</v>
      </c>
      <c r="B205" s="34" t="s">
        <v>615</v>
      </c>
      <c r="C205" s="35" t="s">
        <v>505</v>
      </c>
      <c r="D205" s="22" t="s">
        <v>274</v>
      </c>
      <c r="E205" s="22" t="s">
        <v>539</v>
      </c>
      <c r="F205" s="36">
        <v>45832</v>
      </c>
      <c r="G205" s="24">
        <v>7</v>
      </c>
      <c r="H205" s="37" t="s">
        <v>751</v>
      </c>
      <c r="I205" s="37" t="s">
        <v>661</v>
      </c>
      <c r="J205" s="26" t="s">
        <v>127</v>
      </c>
      <c r="K205" s="38"/>
      <c r="L205" s="24" t="s">
        <v>107</v>
      </c>
      <c r="M205" s="5" t="s">
        <v>108</v>
      </c>
      <c r="N205" s="5"/>
      <c r="O205" s="5" t="s">
        <v>53</v>
      </c>
      <c r="P205" s="5" t="s">
        <v>53</v>
      </c>
      <c r="Q205" s="29"/>
      <c r="R205" s="28"/>
      <c r="S205" s="28"/>
    </row>
    <row r="206" ht="29" customHeight="1" spans="1:19">
      <c r="A206" s="20">
        <v>205</v>
      </c>
      <c r="B206" s="34" t="s">
        <v>752</v>
      </c>
      <c r="C206" s="35" t="s">
        <v>89</v>
      </c>
      <c r="D206" s="22" t="s">
        <v>90</v>
      </c>
      <c r="E206" s="22" t="s">
        <v>529</v>
      </c>
      <c r="F206" s="36">
        <v>45854</v>
      </c>
      <c r="G206" s="24">
        <v>7</v>
      </c>
      <c r="H206" s="37" t="s">
        <v>753</v>
      </c>
      <c r="I206" s="37" t="s">
        <v>661</v>
      </c>
      <c r="J206" s="26" t="s">
        <v>49</v>
      </c>
      <c r="K206" s="38"/>
      <c r="L206" s="24" t="s">
        <v>107</v>
      </c>
      <c r="M206" s="5" t="s">
        <v>108</v>
      </c>
      <c r="N206" s="5"/>
      <c r="O206" s="5" t="s">
        <v>53</v>
      </c>
      <c r="P206" s="5" t="s">
        <v>53</v>
      </c>
      <c r="Q206" s="29"/>
      <c r="R206" s="28"/>
      <c r="S206" s="28"/>
    </row>
    <row r="207" ht="29" customHeight="1" spans="1:19">
      <c r="A207" s="20">
        <v>206</v>
      </c>
      <c r="B207" s="48" t="s">
        <v>754</v>
      </c>
      <c r="C207" s="49" t="s">
        <v>273</v>
      </c>
      <c r="D207" s="52" t="s">
        <v>274</v>
      </c>
      <c r="E207" s="52" t="e">
        <f>VLOOKUP(C207,#REF!,3,0)</f>
        <v>#REF!</v>
      </c>
      <c r="F207" s="50">
        <v>45854</v>
      </c>
      <c r="G207" s="27">
        <v>8</v>
      </c>
      <c r="H207" s="53" t="s">
        <v>755</v>
      </c>
      <c r="I207" s="53" t="s">
        <v>756</v>
      </c>
      <c r="J207" s="26" t="s">
        <v>325</v>
      </c>
      <c r="K207" s="26"/>
      <c r="L207" s="27"/>
      <c r="M207" s="28"/>
      <c r="N207" s="28"/>
      <c r="O207" s="28"/>
      <c r="P207" s="28"/>
      <c r="Q207" s="29"/>
      <c r="R207" s="28"/>
      <c r="S207" s="28"/>
    </row>
    <row r="208" ht="29" customHeight="1" spans="1:19">
      <c r="A208" s="20">
        <v>207</v>
      </c>
      <c r="B208" s="34" t="s">
        <v>757</v>
      </c>
      <c r="C208" s="35" t="s">
        <v>435</v>
      </c>
      <c r="D208" s="22" t="s">
        <v>63</v>
      </c>
      <c r="E208" s="22" t="s">
        <v>539</v>
      </c>
      <c r="F208" s="36">
        <v>45853</v>
      </c>
      <c r="G208" s="24">
        <v>7</v>
      </c>
      <c r="H208" s="37" t="s">
        <v>758</v>
      </c>
      <c r="I208" s="37" t="s">
        <v>759</v>
      </c>
      <c r="J208" s="26" t="s">
        <v>59</v>
      </c>
      <c r="K208" s="38"/>
      <c r="L208" s="24" t="s">
        <v>50</v>
      </c>
      <c r="M208" s="5" t="s">
        <v>60</v>
      </c>
      <c r="N208" s="5"/>
      <c r="O208" s="5" t="s">
        <v>52</v>
      </c>
      <c r="P208" s="5" t="s">
        <v>52</v>
      </c>
      <c r="Q208" s="29"/>
      <c r="R208" s="28"/>
      <c r="S208" s="28"/>
    </row>
    <row r="209" ht="29" customHeight="1" spans="1:19">
      <c r="A209" s="20">
        <v>208</v>
      </c>
      <c r="B209" s="34" t="s">
        <v>760</v>
      </c>
      <c r="C209" s="35" t="s">
        <v>273</v>
      </c>
      <c r="D209" s="22" t="s">
        <v>274</v>
      </c>
      <c r="E209" s="22" t="s">
        <v>539</v>
      </c>
      <c r="F209" s="36">
        <v>45856</v>
      </c>
      <c r="G209" s="24">
        <v>7</v>
      </c>
      <c r="H209" s="37" t="s">
        <v>761</v>
      </c>
      <c r="I209" s="37" t="s">
        <v>661</v>
      </c>
      <c r="J209" s="26" t="s">
        <v>325</v>
      </c>
      <c r="K209" s="38"/>
      <c r="L209" s="24" t="s">
        <v>107</v>
      </c>
      <c r="M209" s="5" t="s">
        <v>108</v>
      </c>
      <c r="N209" s="5"/>
      <c r="O209" s="5" t="s">
        <v>53</v>
      </c>
      <c r="P209" s="5" t="s">
        <v>53</v>
      </c>
      <c r="Q209" s="29"/>
      <c r="R209" s="28"/>
      <c r="S209" s="28"/>
    </row>
    <row r="210" ht="29" customHeight="1" spans="1:19">
      <c r="A210" s="20">
        <v>209</v>
      </c>
      <c r="B210" s="34" t="s">
        <v>762</v>
      </c>
      <c r="C210" s="35" t="s">
        <v>114</v>
      </c>
      <c r="D210" s="22" t="s">
        <v>115</v>
      </c>
      <c r="E210" s="22" t="s">
        <v>539</v>
      </c>
      <c r="F210" s="36">
        <v>45855</v>
      </c>
      <c r="G210" s="24">
        <v>7</v>
      </c>
      <c r="H210" s="58" t="s">
        <v>763</v>
      </c>
      <c r="I210" s="37" t="s">
        <v>764</v>
      </c>
      <c r="J210" s="26" t="s">
        <v>66</v>
      </c>
      <c r="K210" s="38"/>
      <c r="L210" s="24" t="s">
        <v>50</v>
      </c>
      <c r="M210" s="5" t="s">
        <v>51</v>
      </c>
      <c r="N210" s="5"/>
      <c r="O210" s="5" t="s">
        <v>53</v>
      </c>
      <c r="P210" s="55" t="s">
        <v>52</v>
      </c>
      <c r="Q210" s="29"/>
      <c r="R210" s="28"/>
      <c r="S210" s="28"/>
    </row>
    <row r="211" ht="29" customHeight="1" spans="1:19">
      <c r="A211" s="20">
        <v>210</v>
      </c>
      <c r="B211" s="34" t="s">
        <v>765</v>
      </c>
      <c r="C211" s="35" t="s">
        <v>110</v>
      </c>
      <c r="D211" s="22" t="s">
        <v>766</v>
      </c>
      <c r="E211" s="22" t="s">
        <v>462</v>
      </c>
      <c r="F211" s="36">
        <v>45856</v>
      </c>
      <c r="G211" s="24">
        <v>7</v>
      </c>
      <c r="H211" s="37" t="s">
        <v>767</v>
      </c>
      <c r="I211" s="37" t="s">
        <v>768</v>
      </c>
      <c r="J211" s="26" t="s">
        <v>127</v>
      </c>
      <c r="K211" s="38"/>
      <c r="L211" s="24" t="s">
        <v>50</v>
      </c>
      <c r="M211" s="5" t="s">
        <v>51</v>
      </c>
      <c r="N211" s="5"/>
      <c r="O211" s="5" t="s">
        <v>53</v>
      </c>
      <c r="P211" s="5" t="s">
        <v>52</v>
      </c>
      <c r="Q211" s="29"/>
      <c r="R211" s="28"/>
      <c r="S211" s="28"/>
    </row>
    <row r="212" ht="29" customHeight="1" spans="1:19">
      <c r="A212" s="20">
        <v>211</v>
      </c>
      <c r="B212" s="34" t="s">
        <v>769</v>
      </c>
      <c r="C212" s="35" t="s">
        <v>457</v>
      </c>
      <c r="D212" s="22" t="s">
        <v>458</v>
      </c>
      <c r="E212" s="22" t="s">
        <v>462</v>
      </c>
      <c r="F212" s="36">
        <v>45857</v>
      </c>
      <c r="G212" s="24">
        <v>7</v>
      </c>
      <c r="H212" s="37" t="s">
        <v>770</v>
      </c>
      <c r="I212" s="37" t="s">
        <v>721</v>
      </c>
      <c r="J212" s="26" t="s">
        <v>325</v>
      </c>
      <c r="K212" s="38"/>
      <c r="L212" s="24" t="s">
        <v>107</v>
      </c>
      <c r="M212" s="5" t="s">
        <v>108</v>
      </c>
      <c r="N212" s="5"/>
      <c r="O212" s="5" t="s">
        <v>53</v>
      </c>
      <c r="P212" s="5" t="s">
        <v>53</v>
      </c>
      <c r="Q212" s="29"/>
      <c r="R212" s="28"/>
      <c r="S212" s="28"/>
    </row>
    <row r="213" ht="29" customHeight="1" spans="1:19">
      <c r="A213" s="20">
        <v>212</v>
      </c>
      <c r="B213" s="34" t="s">
        <v>771</v>
      </c>
      <c r="C213" s="35" t="s">
        <v>292</v>
      </c>
      <c r="D213" s="22" t="s">
        <v>46</v>
      </c>
      <c r="E213" s="22" t="s">
        <v>529</v>
      </c>
      <c r="F213" s="36">
        <v>45856</v>
      </c>
      <c r="G213" s="24">
        <v>7</v>
      </c>
      <c r="H213" s="37" t="s">
        <v>772</v>
      </c>
      <c r="I213" s="37" t="s">
        <v>773</v>
      </c>
      <c r="J213" s="26" t="s">
        <v>77</v>
      </c>
      <c r="K213" s="38"/>
      <c r="L213" s="24" t="s">
        <v>50</v>
      </c>
      <c r="M213" s="5" t="s">
        <v>60</v>
      </c>
      <c r="N213" s="5">
        <v>800</v>
      </c>
      <c r="O213" s="5" t="s">
        <v>52</v>
      </c>
      <c r="P213" s="5" t="s">
        <v>52</v>
      </c>
      <c r="Q213" s="29"/>
      <c r="R213" s="28"/>
      <c r="S213" s="28"/>
    </row>
    <row r="214" ht="29" customHeight="1" spans="1:19">
      <c r="A214" s="20">
        <v>213</v>
      </c>
      <c r="B214" s="34" t="s">
        <v>774</v>
      </c>
      <c r="C214" s="35" t="s">
        <v>775</v>
      </c>
      <c r="D214" s="22" t="s">
        <v>69</v>
      </c>
      <c r="E214" s="22" t="s">
        <v>529</v>
      </c>
      <c r="F214" s="36">
        <v>45859</v>
      </c>
      <c r="G214" s="24">
        <v>7</v>
      </c>
      <c r="H214" s="37" t="s">
        <v>776</v>
      </c>
      <c r="I214" s="37" t="s">
        <v>750</v>
      </c>
      <c r="J214" s="26" t="s">
        <v>106</v>
      </c>
      <c r="K214" s="38"/>
      <c r="L214" s="24" t="s">
        <v>107</v>
      </c>
      <c r="M214" s="5" t="s">
        <v>108</v>
      </c>
      <c r="N214" s="5"/>
      <c r="O214" s="5" t="s">
        <v>53</v>
      </c>
      <c r="P214" s="5" t="s">
        <v>53</v>
      </c>
      <c r="Q214" s="29"/>
      <c r="R214" s="28"/>
      <c r="S214" s="28"/>
    </row>
    <row r="215" ht="29" customHeight="1" spans="1:19">
      <c r="A215" s="20">
        <v>214</v>
      </c>
      <c r="B215" s="34" t="s">
        <v>777</v>
      </c>
      <c r="C215" s="35" t="s">
        <v>193</v>
      </c>
      <c r="D215" s="22" t="s">
        <v>124</v>
      </c>
      <c r="E215" s="22" t="s">
        <v>529</v>
      </c>
      <c r="F215" s="36">
        <v>45855</v>
      </c>
      <c r="G215" s="24">
        <v>7</v>
      </c>
      <c r="H215" s="37" t="s">
        <v>778</v>
      </c>
      <c r="I215" s="37" t="s">
        <v>666</v>
      </c>
      <c r="J215" s="26" t="s">
        <v>66</v>
      </c>
      <c r="K215" s="38"/>
      <c r="L215" s="24" t="s">
        <v>50</v>
      </c>
      <c r="M215" s="5" t="s">
        <v>51</v>
      </c>
      <c r="N215" s="5"/>
      <c r="O215" s="5" t="s">
        <v>53</v>
      </c>
      <c r="P215" s="55" t="s">
        <v>52</v>
      </c>
      <c r="Q215" s="29"/>
      <c r="R215" s="28"/>
      <c r="S215" s="28"/>
    </row>
    <row r="216" ht="29" customHeight="1" spans="1:19">
      <c r="A216" s="20">
        <v>215</v>
      </c>
      <c r="B216" s="34" t="s">
        <v>779</v>
      </c>
      <c r="C216" s="35" t="s">
        <v>114</v>
      </c>
      <c r="D216" s="22" t="s">
        <v>115</v>
      </c>
      <c r="E216" s="22" t="s">
        <v>539</v>
      </c>
      <c r="F216" s="36">
        <v>45855</v>
      </c>
      <c r="G216" s="24">
        <v>7</v>
      </c>
      <c r="H216" s="37" t="s">
        <v>780</v>
      </c>
      <c r="I216" s="37" t="s">
        <v>781</v>
      </c>
      <c r="J216" s="26" t="s">
        <v>679</v>
      </c>
      <c r="K216" s="38"/>
      <c r="L216" s="24" t="s">
        <v>107</v>
      </c>
      <c r="M216" s="5" t="s">
        <v>108</v>
      </c>
      <c r="N216" s="5"/>
      <c r="O216" s="5" t="s">
        <v>53</v>
      </c>
      <c r="P216" s="5" t="s">
        <v>53</v>
      </c>
      <c r="Q216" s="29"/>
      <c r="R216" s="28"/>
      <c r="S216" s="28"/>
    </row>
    <row r="217" ht="29" customHeight="1" spans="1:19">
      <c r="A217" s="20">
        <v>216</v>
      </c>
      <c r="B217" s="48" t="s">
        <v>782</v>
      </c>
      <c r="C217" s="49" t="s">
        <v>273</v>
      </c>
      <c r="D217" s="52" t="s">
        <v>274</v>
      </c>
      <c r="E217" s="52" t="e">
        <f>VLOOKUP(C217,#REF!,3,0)</f>
        <v>#REF!</v>
      </c>
      <c r="F217" s="50">
        <v>45855</v>
      </c>
      <c r="G217" s="27">
        <v>7</v>
      </c>
      <c r="H217" s="53" t="s">
        <v>783</v>
      </c>
      <c r="I217" s="53" t="s">
        <v>784</v>
      </c>
      <c r="J217" s="26" t="s">
        <v>325</v>
      </c>
      <c r="K217" s="26"/>
      <c r="L217" s="27" t="s">
        <v>107</v>
      </c>
      <c r="M217" s="28" t="s">
        <v>108</v>
      </c>
      <c r="N217" s="28"/>
      <c r="O217" s="5" t="s">
        <v>53</v>
      </c>
      <c r="P217" s="5" t="s">
        <v>53</v>
      </c>
      <c r="Q217" s="29"/>
      <c r="R217" s="28"/>
      <c r="S217" s="28"/>
    </row>
    <row r="218" ht="29" customHeight="1" spans="1:19">
      <c r="A218" s="20">
        <v>217</v>
      </c>
      <c r="B218" s="34" t="s">
        <v>785</v>
      </c>
      <c r="C218" s="35" t="s">
        <v>302</v>
      </c>
      <c r="D218" s="22" t="s">
        <v>124</v>
      </c>
      <c r="E218" s="22" t="s">
        <v>529</v>
      </c>
      <c r="F218" s="36">
        <v>45860</v>
      </c>
      <c r="G218" s="24">
        <v>7</v>
      </c>
      <c r="H218" s="37" t="s">
        <v>786</v>
      </c>
      <c r="I218" s="37" t="s">
        <v>787</v>
      </c>
      <c r="J218" s="26" t="s">
        <v>66</v>
      </c>
      <c r="K218" s="38"/>
      <c r="L218" s="24" t="s">
        <v>50</v>
      </c>
      <c r="M218" s="5" t="s">
        <v>51</v>
      </c>
      <c r="N218" s="5"/>
      <c r="O218" s="5" t="s">
        <v>53</v>
      </c>
      <c r="P218" s="55" t="s">
        <v>52</v>
      </c>
      <c r="Q218" s="29"/>
      <c r="R218" s="28"/>
      <c r="S218" s="28"/>
    </row>
    <row r="219" ht="29" customHeight="1" spans="1:19">
      <c r="A219" s="20">
        <v>218</v>
      </c>
      <c r="B219" s="34" t="s">
        <v>788</v>
      </c>
      <c r="C219" s="35" t="s">
        <v>85</v>
      </c>
      <c r="D219" s="22" t="s">
        <v>63</v>
      </c>
      <c r="E219" s="22" t="s">
        <v>539</v>
      </c>
      <c r="F219" s="36">
        <v>45861</v>
      </c>
      <c r="G219" s="24">
        <v>7</v>
      </c>
      <c r="H219" s="37" t="s">
        <v>789</v>
      </c>
      <c r="I219" s="37" t="s">
        <v>682</v>
      </c>
      <c r="J219" s="26" t="s">
        <v>106</v>
      </c>
      <c r="K219" s="38"/>
      <c r="L219" s="24" t="s">
        <v>107</v>
      </c>
      <c r="M219" s="5" t="s">
        <v>108</v>
      </c>
      <c r="N219" s="5"/>
      <c r="O219" s="5" t="s">
        <v>53</v>
      </c>
      <c r="P219" s="5" t="s">
        <v>53</v>
      </c>
      <c r="Q219" s="29"/>
      <c r="R219" s="28"/>
      <c r="S219" s="28"/>
    </row>
    <row r="220" ht="29" customHeight="1" spans="1:19">
      <c r="A220" s="20">
        <v>219</v>
      </c>
      <c r="B220" s="34" t="s">
        <v>790</v>
      </c>
      <c r="C220" s="35" t="s">
        <v>231</v>
      </c>
      <c r="D220" s="22" t="s">
        <v>155</v>
      </c>
      <c r="E220" s="22" t="s">
        <v>462</v>
      </c>
      <c r="F220" s="36">
        <v>45864</v>
      </c>
      <c r="G220" s="24">
        <v>7</v>
      </c>
      <c r="H220" s="37" t="s">
        <v>791</v>
      </c>
      <c r="I220" s="37" t="s">
        <v>792</v>
      </c>
      <c r="J220" s="26" t="s">
        <v>700</v>
      </c>
      <c r="K220" s="38"/>
      <c r="L220" s="24" t="s">
        <v>50</v>
      </c>
      <c r="M220" s="5" t="s">
        <v>60</v>
      </c>
      <c r="N220" s="5"/>
      <c r="O220" s="5" t="s">
        <v>52</v>
      </c>
      <c r="P220" s="5" t="s">
        <v>52</v>
      </c>
      <c r="Q220" s="29"/>
      <c r="R220" s="28"/>
      <c r="S220" s="28"/>
    </row>
    <row r="221" ht="29" customHeight="1" spans="1:19">
      <c r="A221" s="20">
        <v>220</v>
      </c>
      <c r="B221" s="34" t="s">
        <v>793</v>
      </c>
      <c r="C221" s="35" t="s">
        <v>794</v>
      </c>
      <c r="D221" s="22" t="s">
        <v>274</v>
      </c>
      <c r="E221" s="22" t="s">
        <v>539</v>
      </c>
      <c r="F221" s="36">
        <v>45865</v>
      </c>
      <c r="G221" s="24">
        <v>7</v>
      </c>
      <c r="H221" s="37" t="s">
        <v>795</v>
      </c>
      <c r="I221" s="37" t="s">
        <v>692</v>
      </c>
      <c r="J221" s="26" t="s">
        <v>679</v>
      </c>
      <c r="K221" s="38"/>
      <c r="L221" s="24" t="s">
        <v>107</v>
      </c>
      <c r="M221" s="5" t="s">
        <v>108</v>
      </c>
      <c r="N221" s="5"/>
      <c r="O221" s="5" t="s">
        <v>53</v>
      </c>
      <c r="P221" s="5" t="s">
        <v>53</v>
      </c>
      <c r="Q221" s="29"/>
      <c r="R221" s="28"/>
      <c r="S221" s="28"/>
    </row>
    <row r="222" ht="29" customHeight="1" spans="1:19">
      <c r="A222" s="20">
        <v>221</v>
      </c>
      <c r="B222" s="34" t="s">
        <v>796</v>
      </c>
      <c r="C222" s="35" t="s">
        <v>292</v>
      </c>
      <c r="D222" s="22" t="s">
        <v>46</v>
      </c>
      <c r="E222" s="22" t="s">
        <v>529</v>
      </c>
      <c r="F222" s="36">
        <v>45864</v>
      </c>
      <c r="G222" s="24">
        <v>7</v>
      </c>
      <c r="H222" s="37" t="s">
        <v>797</v>
      </c>
      <c r="I222" s="37" t="s">
        <v>584</v>
      </c>
      <c r="J222" s="26" t="s">
        <v>127</v>
      </c>
      <c r="K222" s="38"/>
      <c r="L222" s="24" t="s">
        <v>50</v>
      </c>
      <c r="M222" s="5" t="s">
        <v>51</v>
      </c>
      <c r="N222" s="5">
        <v>5000</v>
      </c>
      <c r="O222" s="5" t="s">
        <v>53</v>
      </c>
      <c r="P222" s="55" t="s">
        <v>52</v>
      </c>
      <c r="Q222" s="29"/>
      <c r="R222" s="28"/>
      <c r="S222" s="28"/>
    </row>
    <row r="223" ht="29" customHeight="1" spans="1:19">
      <c r="A223" s="20">
        <v>222</v>
      </c>
      <c r="B223" s="59" t="s">
        <v>798</v>
      </c>
      <c r="C223" s="35" t="s">
        <v>799</v>
      </c>
      <c r="D223" s="22" t="s">
        <v>183</v>
      </c>
      <c r="E223" s="22" t="s">
        <v>462</v>
      </c>
      <c r="F223" s="36">
        <v>45866</v>
      </c>
      <c r="G223" s="24">
        <v>7</v>
      </c>
      <c r="H223" s="37" t="s">
        <v>800</v>
      </c>
      <c r="I223" s="37" t="s">
        <v>559</v>
      </c>
      <c r="J223" s="26" t="s">
        <v>158</v>
      </c>
      <c r="K223" s="38"/>
      <c r="L223" s="24" t="s">
        <v>50</v>
      </c>
      <c r="M223" s="5" t="s">
        <v>60</v>
      </c>
      <c r="N223" s="5"/>
      <c r="O223" s="5" t="s">
        <v>52</v>
      </c>
      <c r="P223" s="5" t="s">
        <v>52</v>
      </c>
      <c r="Q223" s="29"/>
      <c r="R223" s="28"/>
      <c r="S223" s="28"/>
    </row>
    <row r="224" ht="29" customHeight="1" spans="1:19">
      <c r="A224" s="20">
        <v>223</v>
      </c>
      <c r="B224" s="34" t="s">
        <v>801</v>
      </c>
      <c r="C224" s="35" t="s">
        <v>236</v>
      </c>
      <c r="D224" s="22" t="s">
        <v>237</v>
      </c>
      <c r="E224" s="22" t="s">
        <v>462</v>
      </c>
      <c r="F224" s="36">
        <v>45866</v>
      </c>
      <c r="G224" s="24">
        <v>7</v>
      </c>
      <c r="H224" s="37" t="s">
        <v>802</v>
      </c>
      <c r="I224" s="37" t="s">
        <v>721</v>
      </c>
      <c r="J224" s="26" t="s">
        <v>325</v>
      </c>
      <c r="K224" s="38"/>
      <c r="L224" s="24" t="s">
        <v>107</v>
      </c>
      <c r="M224" s="5" t="s">
        <v>108</v>
      </c>
      <c r="N224" s="5"/>
      <c r="O224" s="5" t="s">
        <v>53</v>
      </c>
      <c r="P224" s="5" t="s">
        <v>53</v>
      </c>
      <c r="Q224" s="29"/>
      <c r="R224" s="28"/>
      <c r="S224" s="28"/>
    </row>
    <row r="225" ht="29" customHeight="1" spans="1:19">
      <c r="A225" s="20">
        <v>224</v>
      </c>
      <c r="B225" s="34" t="s">
        <v>803</v>
      </c>
      <c r="C225" s="35" t="s">
        <v>167</v>
      </c>
      <c r="D225" s="22" t="s">
        <v>74</v>
      </c>
      <c r="E225" s="22" t="s">
        <v>462</v>
      </c>
      <c r="F225" s="36">
        <v>45866</v>
      </c>
      <c r="G225" s="24">
        <v>7</v>
      </c>
      <c r="H225" s="37" t="s">
        <v>804</v>
      </c>
      <c r="I225" s="37" t="s">
        <v>805</v>
      </c>
      <c r="J225" s="26" t="s">
        <v>325</v>
      </c>
      <c r="K225" s="38"/>
      <c r="L225" s="24" t="s">
        <v>107</v>
      </c>
      <c r="M225" s="5" t="s">
        <v>51</v>
      </c>
      <c r="N225" s="5"/>
      <c r="O225" s="5" t="s">
        <v>53</v>
      </c>
      <c r="P225" s="55" t="s">
        <v>52</v>
      </c>
      <c r="Q225" s="29"/>
      <c r="R225" s="28"/>
      <c r="S225" s="28"/>
    </row>
    <row r="226" ht="29" customHeight="1" spans="1:19">
      <c r="A226" s="20">
        <v>225</v>
      </c>
      <c r="B226" s="48" t="s">
        <v>806</v>
      </c>
      <c r="C226" s="49" t="s">
        <v>273</v>
      </c>
      <c r="D226" s="52" t="s">
        <v>274</v>
      </c>
      <c r="E226" s="52" t="e">
        <f>VLOOKUP(C226,#REF!,3,0)</f>
        <v>#REF!</v>
      </c>
      <c r="F226" s="50">
        <v>45866</v>
      </c>
      <c r="G226" s="27">
        <v>8</v>
      </c>
      <c r="H226" s="53" t="s">
        <v>807</v>
      </c>
      <c r="I226" s="53" t="s">
        <v>808</v>
      </c>
      <c r="J226" s="26" t="s">
        <v>679</v>
      </c>
      <c r="K226" s="26"/>
      <c r="L226" s="27"/>
      <c r="M226" s="28"/>
      <c r="N226" s="28"/>
      <c r="O226" s="5" t="s">
        <v>53</v>
      </c>
      <c r="P226" s="5" t="s">
        <v>52</v>
      </c>
      <c r="Q226" s="29"/>
      <c r="R226" s="28"/>
      <c r="S226" s="28"/>
    </row>
    <row r="227" ht="29" customHeight="1" spans="1:19">
      <c r="A227" s="20">
        <v>226</v>
      </c>
      <c r="B227" s="34" t="s">
        <v>809</v>
      </c>
      <c r="C227" s="35" t="s">
        <v>704</v>
      </c>
      <c r="D227" s="22" t="s">
        <v>316</v>
      </c>
      <c r="E227" s="22" t="s">
        <v>539</v>
      </c>
      <c r="F227" s="36">
        <v>45865</v>
      </c>
      <c r="G227" s="24">
        <v>7</v>
      </c>
      <c r="H227" s="37" t="s">
        <v>810</v>
      </c>
      <c r="I227" s="37" t="s">
        <v>678</v>
      </c>
      <c r="J227" s="26" t="s">
        <v>66</v>
      </c>
      <c r="K227" s="26"/>
      <c r="L227" s="24" t="s">
        <v>50</v>
      </c>
      <c r="M227" s="5" t="s">
        <v>51</v>
      </c>
      <c r="N227" s="5"/>
      <c r="O227" s="5" t="s">
        <v>53</v>
      </c>
      <c r="P227" s="55" t="s">
        <v>52</v>
      </c>
      <c r="Q227" s="29"/>
      <c r="R227" s="28"/>
      <c r="S227" s="28"/>
    </row>
    <row r="228" ht="29" customHeight="1" spans="1:19">
      <c r="A228" s="20">
        <v>227</v>
      </c>
      <c r="B228" s="34" t="s">
        <v>811</v>
      </c>
      <c r="C228" s="35" t="s">
        <v>94</v>
      </c>
      <c r="D228" s="22" t="s">
        <v>95</v>
      </c>
      <c r="E228" s="22" t="s">
        <v>539</v>
      </c>
      <c r="F228" s="36">
        <v>45869</v>
      </c>
      <c r="G228" s="24">
        <v>7</v>
      </c>
      <c r="H228" s="37" t="s">
        <v>812</v>
      </c>
      <c r="I228" s="37" t="s">
        <v>813</v>
      </c>
      <c r="J228" s="26" t="s">
        <v>66</v>
      </c>
      <c r="K228" s="38"/>
      <c r="L228" s="24" t="s">
        <v>50</v>
      </c>
      <c r="M228" s="5" t="s">
        <v>51</v>
      </c>
      <c r="N228" s="5"/>
      <c r="O228" s="5" t="s">
        <v>53</v>
      </c>
      <c r="P228" s="5" t="s">
        <v>52</v>
      </c>
      <c r="Q228" s="29"/>
      <c r="R228" s="28"/>
      <c r="S228" s="28"/>
    </row>
    <row r="229" ht="29" customHeight="1" spans="1:19">
      <c r="A229" s="20">
        <v>228</v>
      </c>
      <c r="B229" s="48" t="s">
        <v>814</v>
      </c>
      <c r="C229" s="49" t="s">
        <v>469</v>
      </c>
      <c r="D229" s="49" t="s">
        <v>237</v>
      </c>
      <c r="E229" s="52" t="s">
        <v>462</v>
      </c>
      <c r="F229" s="50">
        <v>45868</v>
      </c>
      <c r="G229" s="27">
        <v>7</v>
      </c>
      <c r="H229" s="57" t="s">
        <v>815</v>
      </c>
      <c r="I229" s="53" t="s">
        <v>816</v>
      </c>
      <c r="J229" s="26" t="s">
        <v>59</v>
      </c>
      <c r="K229" s="26"/>
      <c r="L229" s="24" t="s">
        <v>50</v>
      </c>
      <c r="M229" s="5" t="s">
        <v>60</v>
      </c>
      <c r="N229" s="28"/>
      <c r="O229" s="5" t="s">
        <v>52</v>
      </c>
      <c r="P229" s="5" t="s">
        <v>52</v>
      </c>
      <c r="Q229" s="60" t="s">
        <v>652</v>
      </c>
      <c r="R229" s="28"/>
      <c r="S229" s="28"/>
    </row>
    <row r="230" ht="29" customHeight="1" spans="1:19">
      <c r="A230" s="20">
        <v>229</v>
      </c>
      <c r="B230" s="61" t="s">
        <v>817</v>
      </c>
      <c r="C230" s="52" t="s">
        <v>818</v>
      </c>
      <c r="D230" s="52" t="s">
        <v>819</v>
      </c>
      <c r="E230" s="52" t="s">
        <v>539</v>
      </c>
      <c r="F230" s="50">
        <v>45899</v>
      </c>
      <c r="G230" s="27">
        <v>8</v>
      </c>
      <c r="H230" s="62" t="s">
        <v>820</v>
      </c>
      <c r="I230" s="62" t="s">
        <v>718</v>
      </c>
      <c r="J230" s="26" t="s">
        <v>325</v>
      </c>
      <c r="K230" s="28"/>
      <c r="L230" s="27" t="s">
        <v>107</v>
      </c>
      <c r="M230" s="5" t="s">
        <v>108</v>
      </c>
      <c r="N230" s="52"/>
      <c r="O230" s="5" t="s">
        <v>53</v>
      </c>
      <c r="P230" s="5" t="s">
        <v>53</v>
      </c>
      <c r="Q230" s="29"/>
      <c r="R230" s="28"/>
      <c r="S230" s="28"/>
    </row>
    <row r="231" s="8" customFormat="1" ht="29" customHeight="1" spans="1:19">
      <c r="A231" s="20">
        <v>230</v>
      </c>
      <c r="B231" s="63" t="s">
        <v>821</v>
      </c>
      <c r="C231" s="40" t="s">
        <v>822</v>
      </c>
      <c r="D231" s="40" t="s">
        <v>115</v>
      </c>
      <c r="E231" s="40" t="s">
        <v>539</v>
      </c>
      <c r="F231" s="64">
        <v>45899</v>
      </c>
      <c r="G231" s="65">
        <v>8</v>
      </c>
      <c r="H231" s="53" t="s">
        <v>823</v>
      </c>
      <c r="I231" s="53" t="s">
        <v>741</v>
      </c>
      <c r="J231" s="26" t="s">
        <v>106</v>
      </c>
      <c r="K231" s="29"/>
      <c r="L231" s="65" t="s">
        <v>107</v>
      </c>
      <c r="M231" s="39" t="s">
        <v>108</v>
      </c>
      <c r="N231" s="40"/>
      <c r="O231" s="39" t="s">
        <v>53</v>
      </c>
      <c r="P231" s="39" t="s">
        <v>53</v>
      </c>
      <c r="Q231" s="29"/>
      <c r="R231" s="29"/>
      <c r="S231" s="29"/>
    </row>
    <row r="232" s="8" customFormat="1" ht="29" customHeight="1" spans="1:19">
      <c r="A232" s="20">
        <v>231</v>
      </c>
      <c r="B232" s="66" t="s">
        <v>824</v>
      </c>
      <c r="C232" s="53" t="s">
        <v>825</v>
      </c>
      <c r="D232" s="40" t="s">
        <v>103</v>
      </c>
      <c r="E232" s="40" t="s">
        <v>462</v>
      </c>
      <c r="F232" s="64">
        <v>45899</v>
      </c>
      <c r="G232" s="65">
        <v>8</v>
      </c>
      <c r="H232" s="53" t="s">
        <v>826</v>
      </c>
      <c r="I232" s="53" t="s">
        <v>562</v>
      </c>
      <c r="J232" s="26" t="s">
        <v>59</v>
      </c>
      <c r="K232" s="67"/>
      <c r="L232" s="68" t="s">
        <v>50</v>
      </c>
      <c r="M232" s="39" t="s">
        <v>51</v>
      </c>
      <c r="N232" s="40"/>
      <c r="O232" s="39" t="s">
        <v>53</v>
      </c>
      <c r="P232" s="39" t="s">
        <v>52</v>
      </c>
      <c r="Q232" s="69" t="s">
        <v>827</v>
      </c>
      <c r="R232" s="29"/>
      <c r="S232" s="29"/>
    </row>
    <row r="233" s="8" customFormat="1" ht="29" customHeight="1" spans="1:19">
      <c r="A233" s="20">
        <v>232</v>
      </c>
      <c r="B233" s="66" t="s">
        <v>828</v>
      </c>
      <c r="C233" s="53" t="s">
        <v>119</v>
      </c>
      <c r="D233" s="40" t="s">
        <v>69</v>
      </c>
      <c r="E233" s="40" t="s">
        <v>529</v>
      </c>
      <c r="F233" s="64">
        <v>45894</v>
      </c>
      <c r="G233" s="65">
        <v>8</v>
      </c>
      <c r="H233" s="53" t="s">
        <v>829</v>
      </c>
      <c r="I233" s="53" t="s">
        <v>830</v>
      </c>
      <c r="J233" s="26" t="s">
        <v>66</v>
      </c>
      <c r="K233" s="67"/>
      <c r="L233" s="68" t="s">
        <v>50</v>
      </c>
      <c r="M233" s="39" t="s">
        <v>60</v>
      </c>
      <c r="N233" s="40"/>
      <c r="O233" s="39" t="s">
        <v>52</v>
      </c>
      <c r="P233" s="39" t="s">
        <v>52</v>
      </c>
      <c r="Q233" s="29"/>
      <c r="R233" s="29"/>
      <c r="S233" s="29"/>
    </row>
    <row r="234" s="8" customFormat="1" ht="29" customHeight="1" spans="1:19">
      <c r="A234" s="20">
        <v>233</v>
      </c>
      <c r="B234" s="66" t="s">
        <v>831</v>
      </c>
      <c r="C234" s="53" t="s">
        <v>832</v>
      </c>
      <c r="D234" s="40" t="s">
        <v>103</v>
      </c>
      <c r="E234" s="40" t="s">
        <v>462</v>
      </c>
      <c r="F234" s="64">
        <v>45900</v>
      </c>
      <c r="G234" s="65">
        <v>8</v>
      </c>
      <c r="H234" s="53" t="s">
        <v>833</v>
      </c>
      <c r="I234" s="53" t="s">
        <v>834</v>
      </c>
      <c r="J234" s="26" t="s">
        <v>158</v>
      </c>
      <c r="K234" s="67"/>
      <c r="L234" s="68" t="s">
        <v>50</v>
      </c>
      <c r="M234" s="39" t="s">
        <v>336</v>
      </c>
      <c r="N234" s="62">
        <v>1300</v>
      </c>
      <c r="O234" s="39" t="s">
        <v>53</v>
      </c>
      <c r="P234" s="39" t="s">
        <v>52</v>
      </c>
      <c r="Q234" s="29"/>
      <c r="R234" s="29"/>
      <c r="S234" s="29"/>
    </row>
    <row r="235" s="8" customFormat="1" ht="29" customHeight="1" spans="1:19">
      <c r="A235" s="20">
        <v>234</v>
      </c>
      <c r="B235" s="66" t="s">
        <v>835</v>
      </c>
      <c r="C235" s="53" t="s">
        <v>836</v>
      </c>
      <c r="D235" s="40" t="s">
        <v>103</v>
      </c>
      <c r="E235" s="40" t="s">
        <v>462</v>
      </c>
      <c r="F235" s="64">
        <v>45896</v>
      </c>
      <c r="G235" s="65">
        <v>8</v>
      </c>
      <c r="H235" s="53" t="s">
        <v>837</v>
      </c>
      <c r="I235" s="53" t="s">
        <v>838</v>
      </c>
      <c r="J235" s="26" t="s">
        <v>106</v>
      </c>
      <c r="K235" s="67"/>
      <c r="L235" s="68" t="s">
        <v>107</v>
      </c>
      <c r="M235" s="39" t="s">
        <v>108</v>
      </c>
      <c r="N235" s="62">
        <v>1000</v>
      </c>
      <c r="O235" s="39" t="s">
        <v>53</v>
      </c>
      <c r="P235" s="39" t="s">
        <v>53</v>
      </c>
      <c r="Q235" s="29"/>
      <c r="R235" s="29"/>
      <c r="S235" s="29"/>
    </row>
    <row r="236" s="8" customFormat="1" ht="29" customHeight="1" spans="1:19">
      <c r="A236" s="20">
        <v>235</v>
      </c>
      <c r="B236" s="66" t="s">
        <v>839</v>
      </c>
      <c r="C236" s="53" t="s">
        <v>518</v>
      </c>
      <c r="D236" s="40" t="s">
        <v>103</v>
      </c>
      <c r="E236" s="40" t="s">
        <v>462</v>
      </c>
      <c r="F236" s="64">
        <v>45896</v>
      </c>
      <c r="G236" s="65">
        <v>8</v>
      </c>
      <c r="H236" s="53" t="s">
        <v>840</v>
      </c>
      <c r="I236" s="53" t="s">
        <v>562</v>
      </c>
      <c r="J236" s="26" t="s">
        <v>59</v>
      </c>
      <c r="K236" s="67"/>
      <c r="L236" s="68" t="s">
        <v>50</v>
      </c>
      <c r="M236" s="39" t="s">
        <v>51</v>
      </c>
      <c r="N236" s="40"/>
      <c r="O236" s="39" t="s">
        <v>53</v>
      </c>
      <c r="P236" s="39" t="s">
        <v>52</v>
      </c>
      <c r="Q236" s="69" t="s">
        <v>827</v>
      </c>
      <c r="R236" s="29"/>
      <c r="S236" s="29"/>
    </row>
    <row r="237" s="8" customFormat="1" ht="29" customHeight="1" spans="1:19">
      <c r="A237" s="20">
        <v>236</v>
      </c>
      <c r="B237" s="66" t="s">
        <v>841</v>
      </c>
      <c r="C237" s="53" t="s">
        <v>457</v>
      </c>
      <c r="D237" s="40" t="s">
        <v>458</v>
      </c>
      <c r="E237" s="40" t="s">
        <v>462</v>
      </c>
      <c r="F237" s="64">
        <v>45895</v>
      </c>
      <c r="G237" s="65">
        <v>8</v>
      </c>
      <c r="H237" s="53" t="s">
        <v>842</v>
      </c>
      <c r="I237" s="53" t="s">
        <v>843</v>
      </c>
      <c r="J237" s="26" t="s">
        <v>66</v>
      </c>
      <c r="K237" s="67"/>
      <c r="L237" s="68" t="s">
        <v>50</v>
      </c>
      <c r="M237" s="39" t="s">
        <v>60</v>
      </c>
      <c r="N237" s="40">
        <v>10000</v>
      </c>
      <c r="O237" s="39" t="s">
        <v>52</v>
      </c>
      <c r="P237" s="70" t="s">
        <v>52</v>
      </c>
      <c r="Q237" s="29"/>
      <c r="R237" s="29"/>
      <c r="S237" s="29"/>
    </row>
    <row r="238" s="8" customFormat="1" ht="29" customHeight="1" spans="1:19">
      <c r="A238" s="20">
        <v>237</v>
      </c>
      <c r="B238" s="66" t="s">
        <v>844</v>
      </c>
      <c r="C238" s="53" t="s">
        <v>263</v>
      </c>
      <c r="D238" s="40" t="s">
        <v>63</v>
      </c>
      <c r="E238" s="40" t="s">
        <v>539</v>
      </c>
      <c r="F238" s="64">
        <v>45891</v>
      </c>
      <c r="G238" s="65">
        <v>8</v>
      </c>
      <c r="H238" s="53" t="s">
        <v>845</v>
      </c>
      <c r="I238" s="53" t="s">
        <v>846</v>
      </c>
      <c r="J238" s="26" t="s">
        <v>59</v>
      </c>
      <c r="K238" s="67"/>
      <c r="L238" s="68" t="s">
        <v>50</v>
      </c>
      <c r="M238" s="39" t="s">
        <v>60</v>
      </c>
      <c r="N238" s="40"/>
      <c r="O238" s="39" t="s">
        <v>52</v>
      </c>
      <c r="P238" s="39" t="s">
        <v>52</v>
      </c>
      <c r="Q238" s="29"/>
      <c r="R238" s="29"/>
      <c r="S238" s="29"/>
    </row>
    <row r="239" s="8" customFormat="1" ht="29" customHeight="1" spans="1:19">
      <c r="A239" s="20">
        <v>238</v>
      </c>
      <c r="B239" s="66" t="s">
        <v>847</v>
      </c>
      <c r="C239" s="53" t="s">
        <v>182</v>
      </c>
      <c r="D239" s="40" t="s">
        <v>183</v>
      </c>
      <c r="E239" s="40" t="s">
        <v>462</v>
      </c>
      <c r="F239" s="64">
        <v>45894</v>
      </c>
      <c r="G239" s="65">
        <v>8</v>
      </c>
      <c r="H239" s="53" t="s">
        <v>848</v>
      </c>
      <c r="I239" s="53" t="s">
        <v>849</v>
      </c>
      <c r="J239" s="26" t="s">
        <v>127</v>
      </c>
      <c r="K239" s="67"/>
      <c r="L239" s="68" t="s">
        <v>107</v>
      </c>
      <c r="M239" s="39" t="s">
        <v>108</v>
      </c>
      <c r="N239" s="40">
        <v>500</v>
      </c>
      <c r="O239" s="39" t="s">
        <v>53</v>
      </c>
      <c r="P239" s="39" t="s">
        <v>52</v>
      </c>
      <c r="Q239" s="29"/>
      <c r="R239" s="29"/>
      <c r="S239" s="29"/>
    </row>
    <row r="240" s="8" customFormat="1" ht="29" customHeight="1" spans="1:19">
      <c r="A240" s="20">
        <v>239</v>
      </c>
      <c r="B240" s="66" t="s">
        <v>850</v>
      </c>
      <c r="C240" s="53" t="s">
        <v>851</v>
      </c>
      <c r="D240" s="40" t="s">
        <v>115</v>
      </c>
      <c r="E240" s="40" t="s">
        <v>539</v>
      </c>
      <c r="F240" s="64">
        <v>45892</v>
      </c>
      <c r="G240" s="65">
        <v>8</v>
      </c>
      <c r="H240" s="53" t="s">
        <v>852</v>
      </c>
      <c r="I240" s="53" t="s">
        <v>853</v>
      </c>
      <c r="J240" s="26" t="s">
        <v>106</v>
      </c>
      <c r="K240" s="67"/>
      <c r="L240" s="68" t="s">
        <v>107</v>
      </c>
      <c r="M240" s="39" t="s">
        <v>108</v>
      </c>
      <c r="N240" s="40">
        <v>1000</v>
      </c>
      <c r="O240" s="39" t="s">
        <v>53</v>
      </c>
      <c r="P240" s="39" t="s">
        <v>52</v>
      </c>
      <c r="Q240" s="29"/>
      <c r="R240" s="29"/>
      <c r="S240" s="29"/>
    </row>
    <row r="241" s="8" customFormat="1" ht="29" customHeight="1" spans="1:19">
      <c r="A241" s="20">
        <v>240</v>
      </c>
      <c r="B241" s="66" t="s">
        <v>854</v>
      </c>
      <c r="C241" s="53" t="s">
        <v>85</v>
      </c>
      <c r="D241" s="40" t="s">
        <v>63</v>
      </c>
      <c r="E241" s="40" t="s">
        <v>539</v>
      </c>
      <c r="F241" s="64">
        <v>45892</v>
      </c>
      <c r="G241" s="65">
        <v>8</v>
      </c>
      <c r="H241" s="53" t="s">
        <v>855</v>
      </c>
      <c r="I241" s="53" t="s">
        <v>856</v>
      </c>
      <c r="J241" s="26" t="s">
        <v>66</v>
      </c>
      <c r="K241" s="67"/>
      <c r="L241" s="68" t="s">
        <v>50</v>
      </c>
      <c r="M241" s="39" t="s">
        <v>51</v>
      </c>
      <c r="N241" s="40"/>
      <c r="O241" s="39" t="s">
        <v>53</v>
      </c>
      <c r="P241" s="70" t="s">
        <v>52</v>
      </c>
      <c r="Q241" s="29"/>
      <c r="R241" s="29"/>
      <c r="S241" s="29"/>
    </row>
    <row r="242" s="8" customFormat="1" ht="29" customHeight="1" spans="1:19">
      <c r="A242" s="20">
        <v>241</v>
      </c>
      <c r="B242" s="66" t="s">
        <v>857</v>
      </c>
      <c r="C242" s="53" t="s">
        <v>486</v>
      </c>
      <c r="D242" s="40" t="s">
        <v>237</v>
      </c>
      <c r="E242" s="40" t="s">
        <v>462</v>
      </c>
      <c r="F242" s="64">
        <v>45892</v>
      </c>
      <c r="G242" s="65">
        <v>8</v>
      </c>
      <c r="H242" s="53" t="s">
        <v>858</v>
      </c>
      <c r="I242" s="53" t="s">
        <v>859</v>
      </c>
      <c r="J242" s="26" t="s">
        <v>679</v>
      </c>
      <c r="K242" s="67"/>
      <c r="L242" s="68" t="s">
        <v>107</v>
      </c>
      <c r="M242" s="39" t="s">
        <v>108</v>
      </c>
      <c r="N242" s="40">
        <v>2000</v>
      </c>
      <c r="O242" s="39" t="s">
        <v>53</v>
      </c>
      <c r="P242" s="39" t="s">
        <v>53</v>
      </c>
      <c r="Q242" s="29"/>
      <c r="R242" s="29"/>
      <c r="S242" s="29"/>
    </row>
    <row r="243" s="8" customFormat="1" ht="29" customHeight="1" spans="1:19">
      <c r="A243" s="20">
        <v>242</v>
      </c>
      <c r="B243" s="66" t="s">
        <v>860</v>
      </c>
      <c r="C243" s="53" t="s">
        <v>263</v>
      </c>
      <c r="D243" s="40" t="s">
        <v>63</v>
      </c>
      <c r="E243" s="40" t="s">
        <v>539</v>
      </c>
      <c r="F243" s="64">
        <v>45892</v>
      </c>
      <c r="G243" s="65">
        <v>8</v>
      </c>
      <c r="H243" s="53" t="s">
        <v>861</v>
      </c>
      <c r="I243" s="53" t="s">
        <v>669</v>
      </c>
      <c r="J243" s="26" t="s">
        <v>158</v>
      </c>
      <c r="K243" s="67"/>
      <c r="L243" s="68" t="s">
        <v>50</v>
      </c>
      <c r="M243" s="39" t="s">
        <v>60</v>
      </c>
      <c r="N243" s="40"/>
      <c r="O243" s="39" t="s">
        <v>52</v>
      </c>
      <c r="P243" s="39" t="s">
        <v>52</v>
      </c>
      <c r="Q243" s="29"/>
      <c r="R243" s="29"/>
      <c r="S243" s="29"/>
    </row>
    <row r="244" s="8" customFormat="1" ht="29" customHeight="1" spans="1:19">
      <c r="A244" s="20">
        <v>243</v>
      </c>
      <c r="B244" s="66" t="s">
        <v>862</v>
      </c>
      <c r="C244" s="53" t="s">
        <v>380</v>
      </c>
      <c r="D244" s="40" t="s">
        <v>155</v>
      </c>
      <c r="E244" s="40" t="s">
        <v>462</v>
      </c>
      <c r="F244" s="64">
        <v>45890</v>
      </c>
      <c r="G244" s="65">
        <v>8</v>
      </c>
      <c r="H244" s="53" t="s">
        <v>863</v>
      </c>
      <c r="I244" s="53" t="s">
        <v>864</v>
      </c>
      <c r="J244" s="26" t="s">
        <v>66</v>
      </c>
      <c r="K244" s="67"/>
      <c r="L244" s="68" t="s">
        <v>50</v>
      </c>
      <c r="M244" s="39" t="s">
        <v>51</v>
      </c>
      <c r="N244" s="40"/>
      <c r="O244" s="39" t="s">
        <v>53</v>
      </c>
      <c r="P244" s="70" t="s">
        <v>52</v>
      </c>
      <c r="Q244" s="29"/>
      <c r="R244" s="29"/>
      <c r="S244" s="29"/>
    </row>
    <row r="245" s="8" customFormat="1" ht="29" customHeight="1" spans="1:19">
      <c r="A245" s="20">
        <v>244</v>
      </c>
      <c r="B245" s="66" t="s">
        <v>865</v>
      </c>
      <c r="C245" s="53" t="s">
        <v>593</v>
      </c>
      <c r="D245" s="40" t="s">
        <v>274</v>
      </c>
      <c r="E245" s="40" t="s">
        <v>539</v>
      </c>
      <c r="F245" s="64">
        <v>45888</v>
      </c>
      <c r="G245" s="65">
        <v>8</v>
      </c>
      <c r="H245" s="53" t="s">
        <v>866</v>
      </c>
      <c r="I245" s="71" t="s">
        <v>718</v>
      </c>
      <c r="J245" s="26" t="s">
        <v>700</v>
      </c>
      <c r="K245" s="67"/>
      <c r="L245" s="68" t="s">
        <v>50</v>
      </c>
      <c r="M245" s="39" t="s">
        <v>60</v>
      </c>
      <c r="N245" s="40"/>
      <c r="O245" s="39" t="s">
        <v>52</v>
      </c>
      <c r="P245" s="39" t="s">
        <v>52</v>
      </c>
      <c r="Q245" s="29"/>
      <c r="R245" s="29"/>
      <c r="S245" s="29"/>
    </row>
    <row r="246" s="8" customFormat="1" ht="29" customHeight="1" spans="1:19">
      <c r="A246" s="20">
        <v>245</v>
      </c>
      <c r="B246" s="66" t="s">
        <v>867</v>
      </c>
      <c r="C246" s="53" t="s">
        <v>182</v>
      </c>
      <c r="D246" s="40" t="s">
        <v>183</v>
      </c>
      <c r="E246" s="40" t="s">
        <v>462</v>
      </c>
      <c r="F246" s="64">
        <v>45888</v>
      </c>
      <c r="G246" s="65">
        <v>8</v>
      </c>
      <c r="H246" s="53" t="s">
        <v>868</v>
      </c>
      <c r="I246" s="53" t="s">
        <v>869</v>
      </c>
      <c r="J246" s="26" t="s">
        <v>66</v>
      </c>
      <c r="K246" s="67"/>
      <c r="L246" s="68" t="s">
        <v>50</v>
      </c>
      <c r="M246" s="39" t="s">
        <v>51</v>
      </c>
      <c r="N246" s="40">
        <v>20000</v>
      </c>
      <c r="O246" s="39" t="s">
        <v>53</v>
      </c>
      <c r="P246" s="39" t="s">
        <v>52</v>
      </c>
      <c r="Q246" s="29"/>
      <c r="R246" s="29"/>
      <c r="S246" s="29"/>
    </row>
    <row r="247" s="8" customFormat="1" ht="29" customHeight="1" spans="1:19">
      <c r="A247" s="20">
        <v>246</v>
      </c>
      <c r="B247" s="66" t="s">
        <v>870</v>
      </c>
      <c r="C247" s="53" t="s">
        <v>302</v>
      </c>
      <c r="D247" s="40" t="s">
        <v>124</v>
      </c>
      <c r="E247" s="40" t="s">
        <v>529</v>
      </c>
      <c r="F247" s="53" t="s">
        <v>871</v>
      </c>
      <c r="G247" s="65">
        <v>8</v>
      </c>
      <c r="H247" s="53" t="s">
        <v>872</v>
      </c>
      <c r="I247" s="53" t="s">
        <v>873</v>
      </c>
      <c r="J247" s="26" t="s">
        <v>77</v>
      </c>
      <c r="K247" s="67"/>
      <c r="L247" s="68" t="s">
        <v>50</v>
      </c>
      <c r="M247" s="39" t="s">
        <v>51</v>
      </c>
      <c r="N247" s="40">
        <v>2000</v>
      </c>
      <c r="O247" s="39" t="s">
        <v>53</v>
      </c>
      <c r="P247" s="39" t="s">
        <v>52</v>
      </c>
      <c r="Q247" s="29"/>
      <c r="R247" s="29"/>
      <c r="S247" s="29"/>
    </row>
    <row r="248" s="8" customFormat="1" ht="29" customHeight="1" spans="1:19">
      <c r="A248" s="20">
        <v>247</v>
      </c>
      <c r="B248" s="66" t="s">
        <v>874</v>
      </c>
      <c r="C248" s="53" t="s">
        <v>302</v>
      </c>
      <c r="D248" s="40" t="s">
        <v>124</v>
      </c>
      <c r="E248" s="40" t="s">
        <v>529</v>
      </c>
      <c r="F248" s="64">
        <v>45885</v>
      </c>
      <c r="G248" s="65">
        <v>8</v>
      </c>
      <c r="H248" s="53" t="s">
        <v>875</v>
      </c>
      <c r="I248" s="53" t="s">
        <v>876</v>
      </c>
      <c r="J248" s="26" t="s">
        <v>234</v>
      </c>
      <c r="K248" s="67"/>
      <c r="L248" s="68" t="s">
        <v>50</v>
      </c>
      <c r="M248" s="39" t="s">
        <v>51</v>
      </c>
      <c r="N248" s="40"/>
      <c r="O248" s="39" t="s">
        <v>53</v>
      </c>
      <c r="P248" s="39" t="s">
        <v>52</v>
      </c>
      <c r="Q248" s="29"/>
      <c r="R248" s="29"/>
      <c r="S248" s="29"/>
    </row>
    <row r="249" s="8" customFormat="1" ht="29" customHeight="1" spans="1:19">
      <c r="A249" s="20">
        <v>248</v>
      </c>
      <c r="B249" s="66" t="s">
        <v>877</v>
      </c>
      <c r="C249" s="53" t="s">
        <v>606</v>
      </c>
      <c r="D249" s="40" t="s">
        <v>46</v>
      </c>
      <c r="E249" s="40" t="s">
        <v>529</v>
      </c>
      <c r="F249" s="64">
        <v>45884</v>
      </c>
      <c r="G249" s="65">
        <v>8</v>
      </c>
      <c r="H249" s="53" t="s">
        <v>878</v>
      </c>
      <c r="I249" s="53" t="s">
        <v>559</v>
      </c>
      <c r="J249" s="26" t="s">
        <v>158</v>
      </c>
      <c r="K249" s="67"/>
      <c r="L249" s="68" t="s">
        <v>50</v>
      </c>
      <c r="M249" s="39" t="s">
        <v>336</v>
      </c>
      <c r="N249" s="40"/>
      <c r="O249" s="39" t="s">
        <v>53</v>
      </c>
      <c r="P249" s="39" t="s">
        <v>52</v>
      </c>
      <c r="Q249" s="29"/>
      <c r="R249" s="29"/>
      <c r="S249" s="29"/>
    </row>
    <row r="250" s="8" customFormat="1" ht="29" customHeight="1" spans="1:19">
      <c r="A250" s="20">
        <v>249</v>
      </c>
      <c r="B250" s="66" t="s">
        <v>879</v>
      </c>
      <c r="C250" s="53" t="s">
        <v>154</v>
      </c>
      <c r="D250" s="40" t="s">
        <v>155</v>
      </c>
      <c r="E250" s="40" t="s">
        <v>462</v>
      </c>
      <c r="F250" s="64">
        <v>45884</v>
      </c>
      <c r="G250" s="65">
        <v>8</v>
      </c>
      <c r="H250" s="53" t="s">
        <v>880</v>
      </c>
      <c r="I250" s="53" t="s">
        <v>881</v>
      </c>
      <c r="J250" s="26" t="s">
        <v>700</v>
      </c>
      <c r="K250" s="67"/>
      <c r="L250" s="68" t="s">
        <v>50</v>
      </c>
      <c r="M250" s="39" t="s">
        <v>60</v>
      </c>
      <c r="N250" s="40"/>
      <c r="O250" s="39" t="s">
        <v>52</v>
      </c>
      <c r="P250" s="39" t="s">
        <v>52</v>
      </c>
      <c r="Q250" s="29"/>
      <c r="R250" s="29"/>
      <c r="S250" s="29"/>
    </row>
    <row r="251" s="8" customFormat="1" ht="29" customHeight="1" spans="1:19">
      <c r="A251" s="20">
        <v>250</v>
      </c>
      <c r="B251" s="66" t="s">
        <v>882</v>
      </c>
      <c r="C251" s="53" t="s">
        <v>469</v>
      </c>
      <c r="D251" s="40" t="s">
        <v>237</v>
      </c>
      <c r="E251" s="40" t="s">
        <v>462</v>
      </c>
      <c r="F251" s="64">
        <v>45882</v>
      </c>
      <c r="G251" s="65">
        <v>8</v>
      </c>
      <c r="H251" s="53" t="s">
        <v>883</v>
      </c>
      <c r="I251" s="53" t="s">
        <v>884</v>
      </c>
      <c r="J251" s="26" t="s">
        <v>106</v>
      </c>
      <c r="K251" s="67"/>
      <c r="L251" s="68" t="s">
        <v>107</v>
      </c>
      <c r="M251" s="39" t="s">
        <v>108</v>
      </c>
      <c r="N251" s="40"/>
      <c r="O251" s="39" t="s">
        <v>53</v>
      </c>
      <c r="P251" s="39" t="s">
        <v>53</v>
      </c>
      <c r="Q251" s="29"/>
      <c r="R251" s="29"/>
      <c r="S251" s="29"/>
    </row>
    <row r="252" s="8" customFormat="1" ht="29" customHeight="1" spans="1:19">
      <c r="A252" s="20">
        <v>251</v>
      </c>
      <c r="B252" s="66" t="s">
        <v>885</v>
      </c>
      <c r="C252" s="53" t="s">
        <v>886</v>
      </c>
      <c r="D252" s="40" t="s">
        <v>115</v>
      </c>
      <c r="E252" s="40" t="s">
        <v>539</v>
      </c>
      <c r="F252" s="64">
        <v>45875</v>
      </c>
      <c r="G252" s="65">
        <v>8</v>
      </c>
      <c r="H252" s="53" t="s">
        <v>887</v>
      </c>
      <c r="I252" s="53" t="s">
        <v>888</v>
      </c>
      <c r="J252" s="26" t="s">
        <v>66</v>
      </c>
      <c r="K252" s="67"/>
      <c r="L252" s="68" t="s">
        <v>50</v>
      </c>
      <c r="M252" s="39" t="s">
        <v>51</v>
      </c>
      <c r="N252" s="40"/>
      <c r="O252" s="39" t="s">
        <v>53</v>
      </c>
      <c r="P252" s="70" t="s">
        <v>52</v>
      </c>
      <c r="Q252" s="29"/>
      <c r="R252" s="29"/>
      <c r="S252" s="29"/>
    </row>
    <row r="253" s="8" customFormat="1" ht="29" customHeight="1" spans="1:19">
      <c r="A253" s="20">
        <v>252</v>
      </c>
      <c r="B253" s="66" t="s">
        <v>889</v>
      </c>
      <c r="C253" s="53" t="s">
        <v>236</v>
      </c>
      <c r="D253" s="40" t="s">
        <v>237</v>
      </c>
      <c r="E253" s="40" t="s">
        <v>462</v>
      </c>
      <c r="F253" s="64">
        <v>45876</v>
      </c>
      <c r="G253" s="65">
        <v>8</v>
      </c>
      <c r="H253" s="53" t="s">
        <v>890</v>
      </c>
      <c r="I253" s="53" t="s">
        <v>891</v>
      </c>
      <c r="J253" s="26" t="s">
        <v>106</v>
      </c>
      <c r="K253" s="67"/>
      <c r="L253" s="68" t="s">
        <v>107</v>
      </c>
      <c r="M253" s="39" t="s">
        <v>108</v>
      </c>
      <c r="N253" s="40">
        <v>550</v>
      </c>
      <c r="O253" s="39" t="s">
        <v>53</v>
      </c>
      <c r="P253" s="39" t="s">
        <v>52</v>
      </c>
      <c r="Q253" s="29"/>
      <c r="R253" s="29"/>
      <c r="S253" s="29"/>
    </row>
    <row r="254" s="8" customFormat="1" ht="29" customHeight="1" spans="1:19">
      <c r="A254" s="20">
        <v>253</v>
      </c>
      <c r="B254" s="66" t="s">
        <v>892</v>
      </c>
      <c r="C254" s="53" t="s">
        <v>123</v>
      </c>
      <c r="D254" s="40" t="s">
        <v>124</v>
      </c>
      <c r="E254" s="40" t="s">
        <v>529</v>
      </c>
      <c r="F254" s="64">
        <v>45875</v>
      </c>
      <c r="G254" s="65">
        <v>8</v>
      </c>
      <c r="H254" s="53" t="s">
        <v>893</v>
      </c>
      <c r="I254" s="53" t="s">
        <v>520</v>
      </c>
      <c r="J254" s="26" t="s">
        <v>66</v>
      </c>
      <c r="K254" s="67"/>
      <c r="L254" s="68" t="s">
        <v>107</v>
      </c>
      <c r="M254" s="39" t="s">
        <v>108</v>
      </c>
      <c r="N254" s="40"/>
      <c r="O254" s="39" t="s">
        <v>53</v>
      </c>
      <c r="P254" s="39" t="s">
        <v>53</v>
      </c>
      <c r="Q254" s="29"/>
      <c r="R254" s="29"/>
      <c r="S254" s="29"/>
    </row>
    <row r="255" s="8" customFormat="1" ht="29" customHeight="1" spans="1:19">
      <c r="A255" s="20">
        <v>254</v>
      </c>
      <c r="B255" s="66" t="s">
        <v>894</v>
      </c>
      <c r="C255" s="53" t="s">
        <v>273</v>
      </c>
      <c r="D255" s="40" t="s">
        <v>274</v>
      </c>
      <c r="E255" s="40" t="s">
        <v>539</v>
      </c>
      <c r="F255" s="64">
        <v>45873</v>
      </c>
      <c r="G255" s="65">
        <v>8</v>
      </c>
      <c r="H255" s="53" t="s">
        <v>895</v>
      </c>
      <c r="I255" s="53" t="s">
        <v>896</v>
      </c>
      <c r="J255" s="26" t="s">
        <v>66</v>
      </c>
      <c r="K255" s="67"/>
      <c r="L255" s="68" t="s">
        <v>50</v>
      </c>
      <c r="M255" s="39" t="s">
        <v>51</v>
      </c>
      <c r="N255" s="40">
        <v>1000</v>
      </c>
      <c r="O255" s="39" t="s">
        <v>53</v>
      </c>
      <c r="P255" s="70" t="s">
        <v>52</v>
      </c>
      <c r="Q255" s="29"/>
      <c r="R255" s="29"/>
      <c r="S255" s="29"/>
    </row>
    <row r="256" s="8" customFormat="1" ht="29" customHeight="1" spans="1:19">
      <c r="A256" s="20">
        <v>255</v>
      </c>
      <c r="B256" s="66" t="s">
        <v>897</v>
      </c>
      <c r="C256" s="53" t="s">
        <v>154</v>
      </c>
      <c r="D256" s="40" t="s">
        <v>155</v>
      </c>
      <c r="E256" s="40" t="s">
        <v>462</v>
      </c>
      <c r="F256" s="64">
        <v>45875</v>
      </c>
      <c r="G256" s="65">
        <v>8</v>
      </c>
      <c r="H256" s="53" t="s">
        <v>898</v>
      </c>
      <c r="I256" s="53" t="s">
        <v>899</v>
      </c>
      <c r="J256" s="26" t="s">
        <v>679</v>
      </c>
      <c r="K256" s="67"/>
      <c r="L256" s="68" t="s">
        <v>107</v>
      </c>
      <c r="M256" s="39" t="s">
        <v>108</v>
      </c>
      <c r="N256" s="40"/>
      <c r="O256" s="39" t="s">
        <v>53</v>
      </c>
      <c r="P256" s="39" t="s">
        <v>53</v>
      </c>
      <c r="Q256" s="29"/>
      <c r="R256" s="29"/>
      <c r="S256" s="29"/>
    </row>
    <row r="257" s="8" customFormat="1" ht="29" customHeight="1" spans="1:19">
      <c r="A257" s="20">
        <v>256</v>
      </c>
      <c r="B257" s="66" t="s">
        <v>900</v>
      </c>
      <c r="C257" s="53" t="s">
        <v>140</v>
      </c>
      <c r="D257" s="40" t="s">
        <v>124</v>
      </c>
      <c r="E257" s="40" t="s">
        <v>529</v>
      </c>
      <c r="F257" s="64">
        <v>45873</v>
      </c>
      <c r="G257" s="65">
        <v>8</v>
      </c>
      <c r="H257" s="53" t="s">
        <v>901</v>
      </c>
      <c r="I257" s="53" t="s">
        <v>902</v>
      </c>
      <c r="J257" s="26" t="s">
        <v>700</v>
      </c>
      <c r="K257" s="67"/>
      <c r="L257" s="68" t="s">
        <v>50</v>
      </c>
      <c r="M257" s="39" t="s">
        <v>60</v>
      </c>
      <c r="N257" s="40"/>
      <c r="O257" s="39" t="s">
        <v>52</v>
      </c>
      <c r="P257" s="39" t="s">
        <v>52</v>
      </c>
      <c r="Q257" s="29"/>
      <c r="R257" s="29"/>
      <c r="S257" s="29"/>
    </row>
    <row r="258" s="8" customFormat="1" ht="29" customHeight="1" spans="1:19">
      <c r="A258" s="20">
        <v>257</v>
      </c>
      <c r="B258" s="66" t="s">
        <v>903</v>
      </c>
      <c r="C258" s="53" t="s">
        <v>85</v>
      </c>
      <c r="D258" s="40" t="s">
        <v>63</v>
      </c>
      <c r="E258" s="40" t="s">
        <v>539</v>
      </c>
      <c r="F258" s="64">
        <v>45873</v>
      </c>
      <c r="G258" s="65">
        <v>8</v>
      </c>
      <c r="H258" s="53" t="s">
        <v>904</v>
      </c>
      <c r="I258" s="53" t="s">
        <v>905</v>
      </c>
      <c r="J258" s="26" t="s">
        <v>679</v>
      </c>
      <c r="K258" s="67"/>
      <c r="L258" s="68" t="s">
        <v>107</v>
      </c>
      <c r="M258" s="39" t="s">
        <v>108</v>
      </c>
      <c r="N258" s="40"/>
      <c r="O258" s="39" t="s">
        <v>53</v>
      </c>
      <c r="P258" s="39" t="s">
        <v>53</v>
      </c>
      <c r="Q258" s="29"/>
      <c r="R258" s="29"/>
      <c r="S258" s="29"/>
    </row>
    <row r="259" s="8" customFormat="1" ht="29" customHeight="1" spans="1:19">
      <c r="A259" s="20">
        <v>258</v>
      </c>
      <c r="B259" s="66" t="s">
        <v>629</v>
      </c>
      <c r="C259" s="53" t="s">
        <v>851</v>
      </c>
      <c r="D259" s="40" t="s">
        <v>115</v>
      </c>
      <c r="E259" s="40" t="s">
        <v>539</v>
      </c>
      <c r="F259" s="64">
        <v>45872</v>
      </c>
      <c r="G259" s="65">
        <v>8</v>
      </c>
      <c r="H259" s="53" t="s">
        <v>906</v>
      </c>
      <c r="I259" s="53" t="s">
        <v>554</v>
      </c>
      <c r="J259" s="26" t="s">
        <v>556</v>
      </c>
      <c r="K259" s="67"/>
      <c r="L259" s="68" t="s">
        <v>50</v>
      </c>
      <c r="M259" s="39" t="s">
        <v>727</v>
      </c>
      <c r="N259" s="40"/>
      <c r="O259" s="39" t="s">
        <v>53</v>
      </c>
      <c r="P259" s="39" t="s">
        <v>53</v>
      </c>
      <c r="Q259" s="29" t="s">
        <v>155</v>
      </c>
      <c r="R259" s="29"/>
      <c r="S259" s="29"/>
    </row>
    <row r="260" s="8" customFormat="1" ht="29" customHeight="1" spans="1:19">
      <c r="A260" s="20">
        <v>259</v>
      </c>
      <c r="B260" s="66" t="s">
        <v>907</v>
      </c>
      <c r="C260" s="53" t="s">
        <v>606</v>
      </c>
      <c r="D260" s="40" t="s">
        <v>46</v>
      </c>
      <c r="E260" s="40" t="s">
        <v>529</v>
      </c>
      <c r="F260" s="64">
        <v>45872</v>
      </c>
      <c r="G260" s="65">
        <v>8</v>
      </c>
      <c r="H260" s="53" t="s">
        <v>908</v>
      </c>
      <c r="I260" s="53" t="s">
        <v>608</v>
      </c>
      <c r="J260" s="26" t="s">
        <v>66</v>
      </c>
      <c r="K260" s="67"/>
      <c r="L260" s="68" t="s">
        <v>50</v>
      </c>
      <c r="M260" s="39" t="s">
        <v>51</v>
      </c>
      <c r="N260" s="40">
        <v>3000</v>
      </c>
      <c r="O260" s="39" t="s">
        <v>53</v>
      </c>
      <c r="P260" s="39" t="s">
        <v>52</v>
      </c>
      <c r="Q260" s="29"/>
      <c r="R260" s="29"/>
      <c r="S260" s="29"/>
    </row>
    <row r="261" s="8" customFormat="1" ht="29" customHeight="1" spans="1:19">
      <c r="A261" s="20">
        <v>260</v>
      </c>
      <c r="B261" s="66" t="s">
        <v>909</v>
      </c>
      <c r="C261" s="53" t="s">
        <v>910</v>
      </c>
      <c r="D261" s="40" t="s">
        <v>95</v>
      </c>
      <c r="E261" s="40" t="s">
        <v>539</v>
      </c>
      <c r="F261" s="64">
        <v>45871</v>
      </c>
      <c r="G261" s="65">
        <v>8</v>
      </c>
      <c r="H261" s="72" t="s">
        <v>911</v>
      </c>
      <c r="I261" s="71" t="s">
        <v>718</v>
      </c>
      <c r="J261" s="26" t="s">
        <v>679</v>
      </c>
      <c r="K261" s="67"/>
      <c r="L261" s="68" t="s">
        <v>107</v>
      </c>
      <c r="M261" s="39" t="s">
        <v>108</v>
      </c>
      <c r="N261" s="40"/>
      <c r="O261" s="39" t="s">
        <v>53</v>
      </c>
      <c r="P261" s="39" t="s">
        <v>53</v>
      </c>
      <c r="Q261" s="29"/>
      <c r="R261" s="29"/>
      <c r="S261" s="29"/>
    </row>
    <row r="262" s="8" customFormat="1" ht="29" customHeight="1" spans="1:19">
      <c r="A262" s="20">
        <v>261</v>
      </c>
      <c r="B262" s="66" t="s">
        <v>912</v>
      </c>
      <c r="C262" s="53" t="s">
        <v>123</v>
      </c>
      <c r="D262" s="40" t="s">
        <v>124</v>
      </c>
      <c r="E262" s="40" t="s">
        <v>529</v>
      </c>
      <c r="F262" s="64">
        <v>45870</v>
      </c>
      <c r="G262" s="65">
        <v>8</v>
      </c>
      <c r="H262" s="53" t="s">
        <v>913</v>
      </c>
      <c r="I262" s="53" t="s">
        <v>520</v>
      </c>
      <c r="J262" s="26" t="s">
        <v>66</v>
      </c>
      <c r="K262" s="67"/>
      <c r="L262" s="68" t="s">
        <v>50</v>
      </c>
      <c r="M262" s="39" t="s">
        <v>51</v>
      </c>
      <c r="N262" s="40">
        <v>20000</v>
      </c>
      <c r="O262" s="39" t="s">
        <v>53</v>
      </c>
      <c r="P262" s="70" t="s">
        <v>52</v>
      </c>
      <c r="Q262" s="29"/>
      <c r="R262" s="29"/>
      <c r="S262" s="29"/>
    </row>
    <row r="263" s="8" customFormat="1" ht="29" customHeight="1" spans="1:19">
      <c r="A263" s="20">
        <v>262</v>
      </c>
      <c r="B263" s="66" t="s">
        <v>831</v>
      </c>
      <c r="C263" s="53" t="s">
        <v>832</v>
      </c>
      <c r="D263" s="53" t="s">
        <v>103</v>
      </c>
      <c r="E263" s="40" t="s">
        <v>462</v>
      </c>
      <c r="F263" s="64">
        <v>45900</v>
      </c>
      <c r="G263" s="65">
        <v>8</v>
      </c>
      <c r="H263" s="53" t="s">
        <v>833</v>
      </c>
      <c r="I263" s="53" t="s">
        <v>834</v>
      </c>
      <c r="J263" s="26" t="s">
        <v>700</v>
      </c>
      <c r="K263" s="67"/>
      <c r="L263" s="65" t="s">
        <v>50</v>
      </c>
      <c r="M263" s="29" t="s">
        <v>914</v>
      </c>
      <c r="N263" s="29"/>
      <c r="O263" s="29" t="s">
        <v>53</v>
      </c>
      <c r="P263" s="29" t="s">
        <v>52</v>
      </c>
      <c r="Q263" s="29"/>
      <c r="R263" s="29"/>
      <c r="S263" s="29"/>
    </row>
    <row r="264" s="8" customFormat="1" ht="29" customHeight="1" spans="1:19">
      <c r="A264" s="20">
        <v>263</v>
      </c>
      <c r="B264" s="66" t="s">
        <v>915</v>
      </c>
      <c r="C264" s="53" t="s">
        <v>302</v>
      </c>
      <c r="D264" s="53" t="s">
        <v>124</v>
      </c>
      <c r="E264" s="40" t="s">
        <v>529</v>
      </c>
      <c r="F264" s="64">
        <v>45894</v>
      </c>
      <c r="G264" s="65">
        <v>8</v>
      </c>
      <c r="H264" s="53" t="s">
        <v>916</v>
      </c>
      <c r="I264" s="53" t="s">
        <v>917</v>
      </c>
      <c r="J264" s="26" t="s">
        <v>918</v>
      </c>
      <c r="K264" s="67"/>
      <c r="L264" s="65" t="s">
        <v>50</v>
      </c>
      <c r="M264" s="29" t="s">
        <v>919</v>
      </c>
      <c r="N264" s="29"/>
      <c r="O264" s="29" t="s">
        <v>52</v>
      </c>
      <c r="P264" s="29" t="s">
        <v>52</v>
      </c>
      <c r="Q264" s="60" t="s">
        <v>652</v>
      </c>
      <c r="R264" s="29"/>
      <c r="S264" s="29"/>
    </row>
    <row r="265" s="8" customFormat="1" ht="29" customHeight="1" spans="1:19">
      <c r="A265" s="20">
        <v>264</v>
      </c>
      <c r="B265" s="66" t="s">
        <v>824</v>
      </c>
      <c r="C265" s="53" t="s">
        <v>129</v>
      </c>
      <c r="D265" s="53" t="s">
        <v>103</v>
      </c>
      <c r="E265" s="40" t="s">
        <v>462</v>
      </c>
      <c r="F265" s="64">
        <v>45899</v>
      </c>
      <c r="G265" s="65">
        <v>8</v>
      </c>
      <c r="H265" s="53" t="s">
        <v>920</v>
      </c>
      <c r="I265" s="53" t="s">
        <v>787</v>
      </c>
      <c r="J265" s="26" t="s">
        <v>59</v>
      </c>
      <c r="K265" s="67"/>
      <c r="L265" s="65" t="s">
        <v>50</v>
      </c>
      <c r="M265" s="29" t="s">
        <v>51</v>
      </c>
      <c r="N265" s="29"/>
      <c r="O265" s="29" t="s">
        <v>53</v>
      </c>
      <c r="P265" s="29" t="s">
        <v>52</v>
      </c>
      <c r="Q265" s="73" t="s">
        <v>921</v>
      </c>
      <c r="R265" s="29"/>
      <c r="S265" s="29"/>
    </row>
    <row r="266" s="8" customFormat="1" ht="29" customHeight="1" spans="1:19">
      <c r="A266" s="20">
        <v>265</v>
      </c>
      <c r="B266" s="66" t="s">
        <v>835</v>
      </c>
      <c r="C266" s="53" t="s">
        <v>129</v>
      </c>
      <c r="D266" s="53" t="s">
        <v>103</v>
      </c>
      <c r="E266" s="40" t="s">
        <v>462</v>
      </c>
      <c r="F266" s="64">
        <v>45896</v>
      </c>
      <c r="G266" s="65">
        <v>8</v>
      </c>
      <c r="H266" s="53" t="s">
        <v>922</v>
      </c>
      <c r="I266" s="53" t="s">
        <v>923</v>
      </c>
      <c r="J266" s="26" t="s">
        <v>106</v>
      </c>
      <c r="K266" s="67"/>
      <c r="L266" s="65" t="s">
        <v>107</v>
      </c>
      <c r="M266" s="29" t="s">
        <v>108</v>
      </c>
      <c r="N266" s="29"/>
      <c r="O266" s="29" t="s">
        <v>53</v>
      </c>
      <c r="P266" s="29" t="s">
        <v>53</v>
      </c>
      <c r="Q266" s="29"/>
      <c r="R266" s="29"/>
      <c r="S266" s="29"/>
    </row>
    <row r="267" ht="29" customHeight="1" spans="1:19">
      <c r="A267" s="20">
        <v>266</v>
      </c>
      <c r="B267" s="61" t="s">
        <v>924</v>
      </c>
      <c r="C267" s="52" t="s">
        <v>236</v>
      </c>
      <c r="D267" s="52" t="s">
        <v>237</v>
      </c>
      <c r="E267" s="52" t="s">
        <v>462</v>
      </c>
      <c r="F267" s="74">
        <v>45898</v>
      </c>
      <c r="G267" s="27">
        <v>8</v>
      </c>
      <c r="H267" s="40" t="s">
        <v>925</v>
      </c>
      <c r="I267" s="40" t="s">
        <v>926</v>
      </c>
      <c r="J267" s="26" t="s">
        <v>158</v>
      </c>
      <c r="K267" s="28"/>
      <c r="L267" s="27" t="s">
        <v>50</v>
      </c>
      <c r="M267" s="28" t="s">
        <v>60</v>
      </c>
      <c r="N267" s="52">
        <v>20000</v>
      </c>
      <c r="O267" s="28" t="s">
        <v>52</v>
      </c>
      <c r="P267" s="28" t="s">
        <v>52</v>
      </c>
      <c r="Q267" s="60" t="s">
        <v>652</v>
      </c>
      <c r="R267" s="28"/>
      <c r="S267" s="28"/>
    </row>
    <row r="268" ht="29" customHeight="1" spans="1:19">
      <c r="A268" s="20">
        <v>267</v>
      </c>
      <c r="B268" s="48" t="s">
        <v>927</v>
      </c>
      <c r="C268" s="49" t="s">
        <v>167</v>
      </c>
      <c r="D268" s="49" t="s">
        <v>928</v>
      </c>
      <c r="E268" s="52" t="s">
        <v>74</v>
      </c>
      <c r="F268" s="50">
        <v>45898</v>
      </c>
      <c r="G268" s="27">
        <v>8</v>
      </c>
      <c r="H268" s="53" t="s">
        <v>929</v>
      </c>
      <c r="I268" s="53" t="s">
        <v>930</v>
      </c>
      <c r="J268" s="26" t="s">
        <v>106</v>
      </c>
      <c r="K268" s="26"/>
      <c r="L268" s="27" t="s">
        <v>107</v>
      </c>
      <c r="M268" s="28" t="s">
        <v>108</v>
      </c>
      <c r="N268" s="27"/>
      <c r="O268" s="28" t="s">
        <v>53</v>
      </c>
      <c r="P268" s="28" t="s">
        <v>53</v>
      </c>
      <c r="Q268" s="60" t="s">
        <v>652</v>
      </c>
      <c r="R268" s="28"/>
      <c r="S268" s="28"/>
    </row>
    <row r="269" ht="29" customHeight="1" spans="1:19">
      <c r="A269" s="20">
        <v>268</v>
      </c>
      <c r="B269" s="48" t="s">
        <v>931</v>
      </c>
      <c r="C269" s="49" t="s">
        <v>182</v>
      </c>
      <c r="D269" s="49" t="s">
        <v>183</v>
      </c>
      <c r="E269" s="52" t="s">
        <v>462</v>
      </c>
      <c r="F269" s="50">
        <v>45901</v>
      </c>
      <c r="G269" s="27">
        <v>9</v>
      </c>
      <c r="H269" s="53" t="s">
        <v>932</v>
      </c>
      <c r="I269" s="53" t="s">
        <v>896</v>
      </c>
      <c r="J269" s="26" t="s">
        <v>127</v>
      </c>
      <c r="K269" s="26"/>
      <c r="L269" s="27"/>
      <c r="M269" s="28"/>
      <c r="N269" s="27"/>
      <c r="O269" s="5" t="s">
        <v>53</v>
      </c>
      <c r="P269" s="55" t="s">
        <v>52</v>
      </c>
      <c r="Q269" s="29"/>
      <c r="R269" s="28"/>
      <c r="S269" s="28"/>
    </row>
    <row r="270" ht="29" customHeight="1" spans="1:19">
      <c r="A270" s="20">
        <v>269</v>
      </c>
      <c r="B270" s="48" t="s">
        <v>933</v>
      </c>
      <c r="C270" s="49" t="s">
        <v>193</v>
      </c>
      <c r="D270" s="49" t="s">
        <v>124</v>
      </c>
      <c r="E270" s="52" t="s">
        <v>529</v>
      </c>
      <c r="F270" s="50">
        <v>45903</v>
      </c>
      <c r="G270" s="27">
        <v>9</v>
      </c>
      <c r="H270" s="53" t="s">
        <v>934</v>
      </c>
      <c r="I270" s="53" t="s">
        <v>935</v>
      </c>
      <c r="J270" s="26" t="s">
        <v>66</v>
      </c>
      <c r="K270" s="26"/>
      <c r="L270" s="27"/>
      <c r="M270" s="28"/>
      <c r="N270" s="27"/>
      <c r="O270" s="5" t="s">
        <v>53</v>
      </c>
      <c r="P270" s="55" t="s">
        <v>52</v>
      </c>
      <c r="Q270" s="29"/>
      <c r="R270" s="28"/>
      <c r="S270" s="28"/>
    </row>
    <row r="271" ht="29" customHeight="1" spans="1:19">
      <c r="A271" s="20">
        <v>270</v>
      </c>
      <c r="B271" s="48" t="s">
        <v>936</v>
      </c>
      <c r="C271" s="49" t="s">
        <v>123</v>
      </c>
      <c r="D271" s="49" t="s">
        <v>124</v>
      </c>
      <c r="E271" s="52" t="s">
        <v>937</v>
      </c>
      <c r="F271" s="50">
        <v>45903</v>
      </c>
      <c r="G271" s="27">
        <v>9</v>
      </c>
      <c r="H271" s="53" t="s">
        <v>938</v>
      </c>
      <c r="I271" s="53" t="s">
        <v>741</v>
      </c>
      <c r="J271" s="26" t="s">
        <v>127</v>
      </c>
      <c r="K271" s="26"/>
      <c r="L271" s="27"/>
      <c r="M271" s="28"/>
      <c r="N271" s="27"/>
      <c r="O271" s="5" t="s">
        <v>53</v>
      </c>
      <c r="P271" s="5" t="s">
        <v>52</v>
      </c>
      <c r="Q271" s="29"/>
      <c r="R271" s="28"/>
      <c r="S271" s="28"/>
    </row>
    <row r="272" ht="29" customHeight="1" spans="1:19">
      <c r="A272" s="20">
        <v>271</v>
      </c>
      <c r="B272" s="48" t="s">
        <v>939</v>
      </c>
      <c r="C272" s="49" t="s">
        <v>89</v>
      </c>
      <c r="D272" s="49" t="s">
        <v>90</v>
      </c>
      <c r="E272" s="52" t="s">
        <v>529</v>
      </c>
      <c r="F272" s="50">
        <v>45904</v>
      </c>
      <c r="G272" s="27">
        <v>9</v>
      </c>
      <c r="H272" s="53" t="s">
        <v>940</v>
      </c>
      <c r="I272" s="53" t="s">
        <v>206</v>
      </c>
      <c r="J272" s="26" t="s">
        <v>66</v>
      </c>
      <c r="K272" s="26"/>
      <c r="L272" s="27"/>
      <c r="M272" s="28"/>
      <c r="N272" s="27"/>
      <c r="O272" s="5" t="s">
        <v>53</v>
      </c>
      <c r="P272" s="5" t="s">
        <v>52</v>
      </c>
      <c r="Q272" s="29"/>
      <c r="R272" s="28"/>
      <c r="S272" s="28"/>
    </row>
    <row r="273" ht="29" customHeight="1" spans="1:19">
      <c r="A273" s="20">
        <v>272</v>
      </c>
      <c r="B273" s="48" t="s">
        <v>941</v>
      </c>
      <c r="C273" s="49" t="s">
        <v>167</v>
      </c>
      <c r="D273" s="49" t="s">
        <v>74</v>
      </c>
      <c r="E273" s="52" t="s">
        <v>462</v>
      </c>
      <c r="F273" s="50">
        <v>45904</v>
      </c>
      <c r="G273" s="27">
        <v>9</v>
      </c>
      <c r="H273" s="53" t="s">
        <v>942</v>
      </c>
      <c r="I273" s="53" t="s">
        <v>943</v>
      </c>
      <c r="J273" s="26" t="s">
        <v>127</v>
      </c>
      <c r="K273" s="26"/>
      <c r="L273" s="27"/>
      <c r="M273" s="28"/>
      <c r="N273" s="27"/>
      <c r="O273" s="5" t="s">
        <v>52</v>
      </c>
      <c r="P273" s="5" t="s">
        <v>52</v>
      </c>
      <c r="Q273" s="29"/>
      <c r="R273" s="28"/>
      <c r="S273" s="28"/>
    </row>
    <row r="274" ht="29" customHeight="1" spans="1:19">
      <c r="A274" s="20">
        <v>273</v>
      </c>
      <c r="B274" s="75" t="s">
        <v>944</v>
      </c>
      <c r="C274" s="76" t="s">
        <v>110</v>
      </c>
      <c r="D274" s="76" t="s">
        <v>80</v>
      </c>
      <c r="E274" s="76" t="s">
        <v>462</v>
      </c>
      <c r="F274" s="77">
        <v>45905</v>
      </c>
      <c r="G274" s="78">
        <v>9</v>
      </c>
      <c r="H274" s="76" t="s">
        <v>945</v>
      </c>
      <c r="I274" s="79" t="s">
        <v>946</v>
      </c>
      <c r="J274" s="26" t="s">
        <v>106</v>
      </c>
      <c r="K274" s="26"/>
      <c r="L274" s="78"/>
      <c r="M274" s="80"/>
      <c r="N274" s="80"/>
      <c r="O274" s="80" t="s">
        <v>53</v>
      </c>
      <c r="P274" s="80" t="s">
        <v>53</v>
      </c>
      <c r="Q274" s="81"/>
      <c r="R274" s="28"/>
      <c r="S274" s="28"/>
    </row>
    <row r="275" ht="29" customHeight="1" spans="1:19">
      <c r="A275" s="20">
        <v>274</v>
      </c>
      <c r="B275" s="48" t="s">
        <v>947</v>
      </c>
      <c r="C275" s="49" t="s">
        <v>505</v>
      </c>
      <c r="D275" s="49" t="s">
        <v>274</v>
      </c>
      <c r="E275" s="52" t="s">
        <v>539</v>
      </c>
      <c r="F275" s="50">
        <v>45905</v>
      </c>
      <c r="G275" s="27">
        <v>9</v>
      </c>
      <c r="H275" s="53" t="s">
        <v>948</v>
      </c>
      <c r="I275" s="53" t="s">
        <v>949</v>
      </c>
      <c r="J275" s="26" t="s">
        <v>158</v>
      </c>
      <c r="K275" s="26"/>
      <c r="L275" s="27"/>
      <c r="M275" s="28"/>
      <c r="N275" s="27"/>
      <c r="O275" s="5" t="s">
        <v>53</v>
      </c>
      <c r="P275" s="55" t="s">
        <v>52</v>
      </c>
      <c r="Q275" s="29"/>
      <c r="R275" s="28"/>
      <c r="S275" s="28"/>
    </row>
    <row r="276" ht="29" customHeight="1" spans="1:19">
      <c r="A276" s="20">
        <v>275</v>
      </c>
      <c r="B276" s="48" t="s">
        <v>950</v>
      </c>
      <c r="C276" s="49" t="s">
        <v>951</v>
      </c>
      <c r="D276" s="49" t="s">
        <v>373</v>
      </c>
      <c r="E276" s="52" t="s">
        <v>462</v>
      </c>
      <c r="F276" s="50">
        <v>45906</v>
      </c>
      <c r="G276" s="27">
        <v>9</v>
      </c>
      <c r="H276" s="53" t="s">
        <v>952</v>
      </c>
      <c r="I276" s="53" t="s">
        <v>953</v>
      </c>
      <c r="J276" s="26" t="s">
        <v>158</v>
      </c>
      <c r="K276" s="26"/>
      <c r="L276" s="27" t="s">
        <v>50</v>
      </c>
      <c r="M276" s="28" t="s">
        <v>83</v>
      </c>
      <c r="N276" s="27">
        <v>10000</v>
      </c>
      <c r="O276" s="5" t="s">
        <v>53</v>
      </c>
      <c r="P276" s="5" t="s">
        <v>52</v>
      </c>
      <c r="Q276" s="29"/>
      <c r="R276" s="28"/>
      <c r="S276" s="28"/>
    </row>
    <row r="277" ht="29" customHeight="1" spans="1:19">
      <c r="A277" s="20">
        <v>276</v>
      </c>
      <c r="B277" s="48" t="s">
        <v>954</v>
      </c>
      <c r="C277" s="49" t="s">
        <v>955</v>
      </c>
      <c r="D277" s="49" t="s">
        <v>237</v>
      </c>
      <c r="E277" s="52" t="s">
        <v>462</v>
      </c>
      <c r="F277" s="50">
        <v>45907</v>
      </c>
      <c r="G277" s="27">
        <v>9</v>
      </c>
      <c r="H277" s="53" t="s">
        <v>956</v>
      </c>
      <c r="I277" s="53" t="s">
        <v>957</v>
      </c>
      <c r="J277" s="26" t="s">
        <v>106</v>
      </c>
      <c r="K277" s="26"/>
      <c r="L277" s="27"/>
      <c r="M277" s="28"/>
      <c r="N277" s="27"/>
      <c r="O277" s="5" t="s">
        <v>53</v>
      </c>
      <c r="P277" s="5" t="s">
        <v>53</v>
      </c>
      <c r="Q277" s="29"/>
      <c r="R277" s="28"/>
      <c r="S277" s="28"/>
    </row>
    <row r="278" ht="29" customHeight="1" spans="1:19">
      <c r="A278" s="20">
        <v>277</v>
      </c>
      <c r="B278" s="48" t="s">
        <v>958</v>
      </c>
      <c r="C278" s="49" t="s">
        <v>172</v>
      </c>
      <c r="D278" s="49" t="s">
        <v>155</v>
      </c>
      <c r="E278" s="52" t="s">
        <v>462</v>
      </c>
      <c r="F278" s="50">
        <v>45907</v>
      </c>
      <c r="G278" s="27">
        <v>9</v>
      </c>
      <c r="H278" s="53" t="s">
        <v>959</v>
      </c>
      <c r="I278" s="53" t="s">
        <v>960</v>
      </c>
      <c r="J278" s="26" t="s">
        <v>106</v>
      </c>
      <c r="K278" s="26"/>
      <c r="L278" s="27"/>
      <c r="M278" s="28"/>
      <c r="N278" s="27"/>
      <c r="O278" s="5" t="s">
        <v>53</v>
      </c>
      <c r="P278" s="5" t="s">
        <v>53</v>
      </c>
      <c r="Q278" s="29"/>
      <c r="R278" s="28"/>
      <c r="S278" s="28"/>
    </row>
    <row r="279" ht="29" customHeight="1" spans="1:19">
      <c r="A279" s="20">
        <v>278</v>
      </c>
      <c r="B279" s="48" t="s">
        <v>961</v>
      </c>
      <c r="C279" s="49" t="s">
        <v>380</v>
      </c>
      <c r="D279" s="49" t="s">
        <v>155</v>
      </c>
      <c r="E279" s="52" t="s">
        <v>462</v>
      </c>
      <c r="F279" s="50">
        <v>45909</v>
      </c>
      <c r="G279" s="27">
        <v>9</v>
      </c>
      <c r="H279" s="53" t="s">
        <v>962</v>
      </c>
      <c r="I279" s="53" t="s">
        <v>963</v>
      </c>
      <c r="J279" s="26" t="s">
        <v>234</v>
      </c>
      <c r="K279" s="26"/>
      <c r="L279" s="27"/>
      <c r="M279" s="28"/>
      <c r="N279" s="27"/>
      <c r="O279" s="5" t="s">
        <v>53</v>
      </c>
      <c r="P279" s="5" t="s">
        <v>52</v>
      </c>
      <c r="Q279" s="29"/>
      <c r="R279" s="28"/>
      <c r="S279" s="28"/>
    </row>
    <row r="280" ht="29" customHeight="1" spans="1:19">
      <c r="A280" s="20">
        <v>279</v>
      </c>
      <c r="B280" s="48" t="s">
        <v>964</v>
      </c>
      <c r="C280" s="49" t="s">
        <v>714</v>
      </c>
      <c r="D280" s="49" t="s">
        <v>63</v>
      </c>
      <c r="E280" s="52" t="s">
        <v>539</v>
      </c>
      <c r="F280" s="50">
        <v>45909</v>
      </c>
      <c r="G280" s="27">
        <v>9</v>
      </c>
      <c r="H280" s="53" t="s">
        <v>965</v>
      </c>
      <c r="I280" s="53" t="s">
        <v>966</v>
      </c>
      <c r="J280" s="26" t="s">
        <v>59</v>
      </c>
      <c r="K280" s="26"/>
      <c r="L280" s="27"/>
      <c r="M280" s="28"/>
      <c r="N280" s="27"/>
      <c r="O280" s="5" t="s">
        <v>52</v>
      </c>
      <c r="P280" s="5" t="s">
        <v>52</v>
      </c>
      <c r="Q280" s="29"/>
      <c r="R280" s="28"/>
      <c r="S280" s="28"/>
    </row>
    <row r="281" ht="29" customHeight="1" spans="1:19">
      <c r="A281" s="20">
        <v>280</v>
      </c>
      <c r="B281" s="48" t="s">
        <v>967</v>
      </c>
      <c r="C281" s="49" t="s">
        <v>167</v>
      </c>
      <c r="D281" s="49" t="s">
        <v>74</v>
      </c>
      <c r="E281" s="52" t="s">
        <v>462</v>
      </c>
      <c r="F281" s="50">
        <v>45910</v>
      </c>
      <c r="G281" s="27">
        <v>9</v>
      </c>
      <c r="H281" s="53" t="s">
        <v>968</v>
      </c>
      <c r="I281" s="53" t="s">
        <v>741</v>
      </c>
      <c r="J281" s="26" t="s">
        <v>106</v>
      </c>
      <c r="K281" s="26"/>
      <c r="L281" s="27"/>
      <c r="M281" s="28"/>
      <c r="N281" s="27"/>
      <c r="O281" s="5" t="s">
        <v>53</v>
      </c>
      <c r="P281" s="5" t="s">
        <v>53</v>
      </c>
      <c r="Q281" s="29"/>
      <c r="R281" s="28"/>
      <c r="S281" s="28"/>
    </row>
    <row r="282" ht="29" customHeight="1" spans="1:19">
      <c r="A282" s="20">
        <v>281</v>
      </c>
      <c r="B282" s="48" t="s">
        <v>969</v>
      </c>
      <c r="C282" s="49" t="s">
        <v>586</v>
      </c>
      <c r="D282" s="49" t="s">
        <v>74</v>
      </c>
      <c r="E282" s="52" t="s">
        <v>462</v>
      </c>
      <c r="F282" s="50">
        <v>45910</v>
      </c>
      <c r="G282" s="27">
        <v>9</v>
      </c>
      <c r="H282" s="53" t="s">
        <v>970</v>
      </c>
      <c r="I282" s="53" t="s">
        <v>971</v>
      </c>
      <c r="J282" s="26" t="s">
        <v>127</v>
      </c>
      <c r="K282" s="26"/>
      <c r="L282" s="27"/>
      <c r="M282" s="28"/>
      <c r="N282" s="27"/>
      <c r="O282" s="5" t="s">
        <v>53</v>
      </c>
      <c r="P282" s="5" t="s">
        <v>52</v>
      </c>
      <c r="Q282" s="29"/>
      <c r="R282" s="28"/>
      <c r="S282" s="28"/>
    </row>
    <row r="283" ht="29" customHeight="1" spans="1:19">
      <c r="A283" s="20">
        <v>282</v>
      </c>
      <c r="B283" s="48" t="s">
        <v>972</v>
      </c>
      <c r="C283" s="49" t="s">
        <v>68</v>
      </c>
      <c r="D283" s="49" t="s">
        <v>69</v>
      </c>
      <c r="E283" s="52" t="s">
        <v>529</v>
      </c>
      <c r="F283" s="50">
        <v>45910</v>
      </c>
      <c r="G283" s="27">
        <v>9</v>
      </c>
      <c r="H283" s="53" t="s">
        <v>973</v>
      </c>
      <c r="I283" s="53" t="s">
        <v>974</v>
      </c>
      <c r="J283" s="26" t="s">
        <v>66</v>
      </c>
      <c r="K283" s="26"/>
      <c r="L283" s="27"/>
      <c r="M283" s="28"/>
      <c r="N283" s="27"/>
      <c r="O283" s="5" t="s">
        <v>53</v>
      </c>
      <c r="P283" s="5" t="s">
        <v>53</v>
      </c>
      <c r="Q283" s="29"/>
      <c r="R283" s="28"/>
      <c r="S283" s="28"/>
    </row>
    <row r="284" ht="29" customHeight="1" spans="1:19">
      <c r="A284" s="20">
        <v>283</v>
      </c>
      <c r="B284" s="48" t="s">
        <v>975</v>
      </c>
      <c r="C284" s="49" t="s">
        <v>976</v>
      </c>
      <c r="D284" s="49" t="s">
        <v>124</v>
      </c>
      <c r="E284" s="52" t="s">
        <v>529</v>
      </c>
      <c r="F284" s="50">
        <v>45911</v>
      </c>
      <c r="G284" s="27">
        <v>9</v>
      </c>
      <c r="H284" s="53" t="s">
        <v>977</v>
      </c>
      <c r="I284" s="53"/>
      <c r="J284" s="26" t="s">
        <v>158</v>
      </c>
      <c r="K284" s="26"/>
      <c r="L284" s="27" t="s">
        <v>50</v>
      </c>
      <c r="M284" s="28" t="s">
        <v>336</v>
      </c>
      <c r="N284" s="27">
        <v>400</v>
      </c>
      <c r="O284" s="5" t="s">
        <v>53</v>
      </c>
      <c r="P284" s="5" t="s">
        <v>52</v>
      </c>
      <c r="Q284" s="29"/>
      <c r="R284" s="28"/>
      <c r="S284" s="28"/>
    </row>
    <row r="285" ht="29" customHeight="1" spans="1:19">
      <c r="A285" s="20">
        <v>284</v>
      </c>
      <c r="B285" s="66" t="s">
        <v>978</v>
      </c>
      <c r="C285" s="49" t="s">
        <v>979</v>
      </c>
      <c r="D285" s="49" t="s">
        <v>115</v>
      </c>
      <c r="E285" s="52" t="s">
        <v>539</v>
      </c>
      <c r="F285" s="50">
        <v>45911</v>
      </c>
      <c r="G285" s="27">
        <v>9</v>
      </c>
      <c r="H285" s="53" t="s">
        <v>980</v>
      </c>
      <c r="I285" s="53" t="s">
        <v>981</v>
      </c>
      <c r="J285" s="26" t="s">
        <v>106</v>
      </c>
      <c r="K285" s="26"/>
      <c r="L285" s="27" t="s">
        <v>107</v>
      </c>
      <c r="M285" s="28" t="s">
        <v>108</v>
      </c>
      <c r="N285" s="27"/>
      <c r="O285" s="5" t="s">
        <v>53</v>
      </c>
      <c r="P285" s="5" t="s">
        <v>53</v>
      </c>
      <c r="Q285" s="29" t="s">
        <v>982</v>
      </c>
      <c r="R285" s="28"/>
      <c r="S285" s="28"/>
    </row>
    <row r="286" ht="29" customHeight="1" spans="1:19">
      <c r="A286" s="20">
        <v>285</v>
      </c>
      <c r="B286" s="48" t="s">
        <v>983</v>
      </c>
      <c r="C286" s="49" t="s">
        <v>73</v>
      </c>
      <c r="D286" s="49" t="s">
        <v>74</v>
      </c>
      <c r="E286" s="52" t="s">
        <v>462</v>
      </c>
      <c r="F286" s="50">
        <v>45912</v>
      </c>
      <c r="G286" s="27">
        <v>9</v>
      </c>
      <c r="H286" s="53" t="s">
        <v>984</v>
      </c>
      <c r="I286" s="53" t="s">
        <v>985</v>
      </c>
      <c r="J286" s="26" t="s">
        <v>170</v>
      </c>
      <c r="K286" s="26"/>
      <c r="L286" s="27" t="s">
        <v>107</v>
      </c>
      <c r="M286" s="28" t="s">
        <v>108</v>
      </c>
      <c r="N286" s="27"/>
      <c r="O286" s="5" t="s">
        <v>53</v>
      </c>
      <c r="P286" s="5" t="s">
        <v>53</v>
      </c>
      <c r="Q286" s="29"/>
      <c r="R286" s="28"/>
      <c r="S286" s="28"/>
    </row>
    <row r="287" ht="29" customHeight="1" spans="1:19">
      <c r="A287" s="20">
        <v>286</v>
      </c>
      <c r="B287" s="48" t="s">
        <v>986</v>
      </c>
      <c r="C287" s="49" t="s">
        <v>714</v>
      </c>
      <c r="D287" s="49" t="s">
        <v>63</v>
      </c>
      <c r="E287" s="52" t="s">
        <v>539</v>
      </c>
      <c r="F287" s="50">
        <v>45912</v>
      </c>
      <c r="G287" s="27">
        <v>9</v>
      </c>
      <c r="H287" s="53" t="s">
        <v>987</v>
      </c>
      <c r="I287" s="53" t="s">
        <v>988</v>
      </c>
      <c r="J287" s="26" t="s">
        <v>106</v>
      </c>
      <c r="K287" s="26"/>
      <c r="L287" s="27" t="s">
        <v>107</v>
      </c>
      <c r="M287" s="28" t="s">
        <v>108</v>
      </c>
      <c r="N287" s="27"/>
      <c r="O287" s="5" t="s">
        <v>53</v>
      </c>
      <c r="P287" s="5" t="s">
        <v>53</v>
      </c>
      <c r="Q287" s="29" t="s">
        <v>989</v>
      </c>
      <c r="R287" s="28"/>
      <c r="S287" s="28"/>
    </row>
    <row r="288" ht="29" customHeight="1" spans="1:19">
      <c r="A288" s="20">
        <v>287</v>
      </c>
      <c r="B288" s="48" t="s">
        <v>990</v>
      </c>
      <c r="C288" s="49" t="s">
        <v>435</v>
      </c>
      <c r="D288" s="49" t="s">
        <v>63</v>
      </c>
      <c r="E288" s="52" t="s">
        <v>539</v>
      </c>
      <c r="F288" s="50">
        <v>45913</v>
      </c>
      <c r="G288" s="27">
        <v>9</v>
      </c>
      <c r="H288" s="53" t="s">
        <v>991</v>
      </c>
      <c r="I288" s="53" t="s">
        <v>655</v>
      </c>
      <c r="J288" s="26" t="s">
        <v>59</v>
      </c>
      <c r="K288" s="26"/>
      <c r="L288" s="27" t="s">
        <v>50</v>
      </c>
      <c r="M288" s="28" t="s">
        <v>60</v>
      </c>
      <c r="N288" s="27"/>
      <c r="O288" s="5" t="s">
        <v>52</v>
      </c>
      <c r="P288" s="5" t="s">
        <v>52</v>
      </c>
      <c r="Q288" s="29"/>
      <c r="R288" s="28"/>
      <c r="S288" s="28"/>
    </row>
    <row r="289" ht="29" customHeight="1" spans="1:19">
      <c r="A289" s="20">
        <v>288</v>
      </c>
      <c r="B289" s="48" t="s">
        <v>992</v>
      </c>
      <c r="C289" s="49" t="s">
        <v>736</v>
      </c>
      <c r="D289" s="49" t="s">
        <v>115</v>
      </c>
      <c r="E289" s="52" t="s">
        <v>539</v>
      </c>
      <c r="F289" s="50">
        <v>45913</v>
      </c>
      <c r="G289" s="27">
        <v>9</v>
      </c>
      <c r="H289" s="53" t="s">
        <v>993</v>
      </c>
      <c r="I289" s="53" t="s">
        <v>994</v>
      </c>
      <c r="J289" s="26" t="s">
        <v>106</v>
      </c>
      <c r="K289" s="26"/>
      <c r="L289" s="27" t="s">
        <v>107</v>
      </c>
      <c r="M289" s="28" t="s">
        <v>108</v>
      </c>
      <c r="N289" s="27"/>
      <c r="O289" s="5" t="s">
        <v>53</v>
      </c>
      <c r="P289" s="5" t="s">
        <v>53</v>
      </c>
      <c r="Q289" s="29" t="s">
        <v>982</v>
      </c>
      <c r="R289" s="28"/>
      <c r="S289" s="28"/>
    </row>
    <row r="290" ht="29" customHeight="1" spans="1:19">
      <c r="A290" s="20">
        <v>289</v>
      </c>
      <c r="B290" s="48" t="s">
        <v>995</v>
      </c>
      <c r="C290" s="49" t="s">
        <v>818</v>
      </c>
      <c r="D290" s="49" t="s">
        <v>819</v>
      </c>
      <c r="E290" s="52" t="s">
        <v>539</v>
      </c>
      <c r="F290" s="50">
        <v>45913</v>
      </c>
      <c r="G290" s="27">
        <v>9</v>
      </c>
      <c r="H290" s="53" t="s">
        <v>996</v>
      </c>
      <c r="I290" s="53" t="s">
        <v>997</v>
      </c>
      <c r="J290" s="26" t="s">
        <v>127</v>
      </c>
      <c r="K290" s="26"/>
      <c r="L290" s="27" t="s">
        <v>107</v>
      </c>
      <c r="M290" s="28" t="s">
        <v>108</v>
      </c>
      <c r="N290" s="27">
        <v>15000</v>
      </c>
      <c r="O290" s="5" t="s">
        <v>53</v>
      </c>
      <c r="P290" s="55" t="s">
        <v>52</v>
      </c>
      <c r="Q290" s="29"/>
      <c r="R290" s="28"/>
      <c r="S290" s="28"/>
    </row>
    <row r="291" ht="29" customHeight="1" spans="1:19">
      <c r="A291" s="20">
        <v>290</v>
      </c>
      <c r="B291" s="48" t="s">
        <v>998</v>
      </c>
      <c r="C291" s="49" t="s">
        <v>999</v>
      </c>
      <c r="D291" s="49" t="s">
        <v>1000</v>
      </c>
      <c r="E291" s="52" t="s">
        <v>539</v>
      </c>
      <c r="F291" s="50">
        <v>45914</v>
      </c>
      <c r="G291" s="27">
        <v>9</v>
      </c>
      <c r="H291" s="53" t="s">
        <v>1001</v>
      </c>
      <c r="I291" s="53" t="s">
        <v>1002</v>
      </c>
      <c r="J291" s="26" t="s">
        <v>127</v>
      </c>
      <c r="K291" s="26"/>
      <c r="L291" s="27" t="s">
        <v>50</v>
      </c>
      <c r="M291" s="28" t="s">
        <v>60</v>
      </c>
      <c r="N291" s="27">
        <v>3000</v>
      </c>
      <c r="O291" s="5" t="s">
        <v>52</v>
      </c>
      <c r="P291" s="5" t="s">
        <v>52</v>
      </c>
      <c r="Q291" s="29"/>
      <c r="R291" s="28"/>
      <c r="S291" s="28"/>
    </row>
    <row r="292" ht="29" customHeight="1" spans="1:19">
      <c r="A292" s="20">
        <v>291</v>
      </c>
      <c r="B292" s="48" t="s">
        <v>1003</v>
      </c>
      <c r="C292" s="49" t="s">
        <v>1004</v>
      </c>
      <c r="D292" s="49" t="s">
        <v>115</v>
      </c>
      <c r="E292" s="52" t="s">
        <v>539</v>
      </c>
      <c r="F292" s="50">
        <v>45914</v>
      </c>
      <c r="G292" s="27">
        <v>9</v>
      </c>
      <c r="H292" s="53" t="s">
        <v>1005</v>
      </c>
      <c r="I292" s="53" t="s">
        <v>1006</v>
      </c>
      <c r="J292" s="26" t="s">
        <v>77</v>
      </c>
      <c r="K292" s="26"/>
      <c r="L292" s="27" t="s">
        <v>107</v>
      </c>
      <c r="M292" s="28" t="s">
        <v>108</v>
      </c>
      <c r="N292" s="27"/>
      <c r="O292" s="5" t="s">
        <v>53</v>
      </c>
      <c r="P292" s="5" t="s">
        <v>52</v>
      </c>
      <c r="Q292" s="29" t="s">
        <v>1007</v>
      </c>
      <c r="R292" s="28"/>
      <c r="S292" s="28"/>
    </row>
    <row r="293" ht="29" customHeight="1" spans="1:19">
      <c r="A293" s="20">
        <v>292</v>
      </c>
      <c r="B293" s="48" t="s">
        <v>1008</v>
      </c>
      <c r="C293" s="49" t="s">
        <v>45</v>
      </c>
      <c r="D293" s="49" t="s">
        <v>46</v>
      </c>
      <c r="E293" s="52" t="s">
        <v>529</v>
      </c>
      <c r="F293" s="50">
        <v>45914</v>
      </c>
      <c r="G293" s="27">
        <v>9</v>
      </c>
      <c r="H293" s="53" t="s">
        <v>1009</v>
      </c>
      <c r="I293" s="53" t="s">
        <v>1010</v>
      </c>
      <c r="J293" s="26" t="s">
        <v>106</v>
      </c>
      <c r="K293" s="26"/>
      <c r="L293" s="27" t="s">
        <v>107</v>
      </c>
      <c r="M293" s="28" t="s">
        <v>108</v>
      </c>
      <c r="N293" s="27"/>
      <c r="O293" s="5" t="s">
        <v>53</v>
      </c>
      <c r="P293" s="5" t="s">
        <v>53</v>
      </c>
      <c r="Q293" s="29" t="s">
        <v>982</v>
      </c>
      <c r="R293" s="28"/>
      <c r="S293" s="28"/>
    </row>
    <row r="294" ht="29" customHeight="1" spans="1:19">
      <c r="A294" s="20">
        <v>293</v>
      </c>
      <c r="B294" s="48" t="s">
        <v>1011</v>
      </c>
      <c r="C294" s="49" t="s">
        <v>851</v>
      </c>
      <c r="D294" s="49" t="s">
        <v>115</v>
      </c>
      <c r="E294" s="52" t="s">
        <v>539</v>
      </c>
      <c r="F294" s="50">
        <v>45914</v>
      </c>
      <c r="G294" s="27">
        <v>9</v>
      </c>
      <c r="H294" s="53" t="s">
        <v>1012</v>
      </c>
      <c r="I294" s="53" t="s">
        <v>1013</v>
      </c>
      <c r="J294" s="26" t="s">
        <v>106</v>
      </c>
      <c r="K294" s="26"/>
      <c r="L294" s="27" t="s">
        <v>107</v>
      </c>
      <c r="M294" s="28" t="s">
        <v>108</v>
      </c>
      <c r="N294" s="27">
        <v>670</v>
      </c>
      <c r="O294" s="5" t="s">
        <v>53</v>
      </c>
      <c r="P294" s="5" t="s">
        <v>53</v>
      </c>
      <c r="Q294" s="29"/>
      <c r="R294" s="28"/>
      <c r="S294" s="28"/>
    </row>
    <row r="295" ht="29" customHeight="1" spans="1:19">
      <c r="A295" s="20">
        <v>294</v>
      </c>
      <c r="B295" s="48" t="s">
        <v>1014</v>
      </c>
      <c r="C295" s="49" t="s">
        <v>586</v>
      </c>
      <c r="D295" s="49" t="s">
        <v>74</v>
      </c>
      <c r="E295" s="52" t="s">
        <v>462</v>
      </c>
      <c r="F295" s="50">
        <v>45915</v>
      </c>
      <c r="G295" s="27">
        <v>9</v>
      </c>
      <c r="H295" s="53" t="s">
        <v>1015</v>
      </c>
      <c r="I295" s="53" t="s">
        <v>1016</v>
      </c>
      <c r="J295" s="26" t="s">
        <v>325</v>
      </c>
      <c r="K295" s="26"/>
      <c r="L295" s="27" t="s">
        <v>107</v>
      </c>
      <c r="M295" s="5" t="s">
        <v>108</v>
      </c>
      <c r="N295" s="27"/>
      <c r="O295" s="5" t="s">
        <v>53</v>
      </c>
      <c r="P295" s="5" t="s">
        <v>53</v>
      </c>
      <c r="Q295" s="29"/>
      <c r="R295" s="28"/>
      <c r="S295" s="28"/>
    </row>
    <row r="296" ht="29" customHeight="1" spans="1:19">
      <c r="A296" s="20">
        <v>295</v>
      </c>
      <c r="B296" s="48" t="s">
        <v>1017</v>
      </c>
      <c r="C296" s="49" t="s">
        <v>714</v>
      </c>
      <c r="D296" s="49" t="s">
        <v>63</v>
      </c>
      <c r="E296" s="52" t="s">
        <v>539</v>
      </c>
      <c r="F296" s="50">
        <v>45915</v>
      </c>
      <c r="G296" s="27">
        <v>9</v>
      </c>
      <c r="H296" s="53" t="s">
        <v>1018</v>
      </c>
      <c r="I296" s="53" t="s">
        <v>597</v>
      </c>
      <c r="J296" s="26" t="s">
        <v>77</v>
      </c>
      <c r="K296" s="26"/>
      <c r="L296" s="27" t="s">
        <v>107</v>
      </c>
      <c r="M296" s="28" t="s">
        <v>108</v>
      </c>
      <c r="N296" s="27">
        <v>5000</v>
      </c>
      <c r="O296" s="5" t="s">
        <v>53</v>
      </c>
      <c r="P296" s="5" t="s">
        <v>52</v>
      </c>
      <c r="Q296" s="29" t="s">
        <v>1007</v>
      </c>
      <c r="R296" s="28"/>
      <c r="S296" s="28"/>
    </row>
    <row r="297" ht="29" customHeight="1" spans="1:19">
      <c r="A297" s="20">
        <v>296</v>
      </c>
      <c r="B297" s="48" t="s">
        <v>1019</v>
      </c>
      <c r="C297" s="49" t="s">
        <v>123</v>
      </c>
      <c r="D297" s="49" t="s">
        <v>124</v>
      </c>
      <c r="E297" s="52" t="s">
        <v>529</v>
      </c>
      <c r="F297" s="50">
        <v>45916</v>
      </c>
      <c r="G297" s="27">
        <v>9</v>
      </c>
      <c r="H297" s="53" t="s">
        <v>1020</v>
      </c>
      <c r="I297" s="53" t="s">
        <v>787</v>
      </c>
      <c r="J297" s="26" t="s">
        <v>49</v>
      </c>
      <c r="K297" s="26"/>
      <c r="L297" s="27" t="s">
        <v>107</v>
      </c>
      <c r="M297" s="28" t="s">
        <v>108</v>
      </c>
      <c r="N297" s="27">
        <v>5000</v>
      </c>
      <c r="O297" s="5" t="s">
        <v>53</v>
      </c>
      <c r="P297" s="5" t="s">
        <v>52</v>
      </c>
      <c r="Q297" s="29"/>
      <c r="R297" s="28"/>
      <c r="S297" s="28"/>
    </row>
    <row r="298" ht="29" customHeight="1" spans="1:19">
      <c r="A298" s="20">
        <v>297</v>
      </c>
      <c r="B298" s="48" t="s">
        <v>1021</v>
      </c>
      <c r="C298" s="49" t="s">
        <v>79</v>
      </c>
      <c r="D298" s="49" t="s">
        <v>80</v>
      </c>
      <c r="E298" s="52" t="s">
        <v>462</v>
      </c>
      <c r="F298" s="50">
        <v>45916</v>
      </c>
      <c r="G298" s="27">
        <v>9</v>
      </c>
      <c r="H298" s="53" t="s">
        <v>1022</v>
      </c>
      <c r="I298" s="53" t="s">
        <v>787</v>
      </c>
      <c r="J298" s="26" t="s">
        <v>59</v>
      </c>
      <c r="K298" s="26"/>
      <c r="L298" s="27" t="s">
        <v>50</v>
      </c>
      <c r="M298" s="28" t="s">
        <v>60</v>
      </c>
      <c r="N298" s="27">
        <v>10000</v>
      </c>
      <c r="O298" s="5" t="s">
        <v>52</v>
      </c>
      <c r="P298" s="5" t="s">
        <v>52</v>
      </c>
      <c r="Q298" s="29"/>
      <c r="R298" s="28"/>
      <c r="S298" s="28"/>
    </row>
    <row r="299" ht="29" customHeight="1" spans="1:19">
      <c r="A299" s="20">
        <v>298</v>
      </c>
      <c r="B299" s="48" t="s">
        <v>1023</v>
      </c>
      <c r="C299" s="49" t="s">
        <v>302</v>
      </c>
      <c r="D299" s="49" t="s">
        <v>124</v>
      </c>
      <c r="E299" s="52" t="s">
        <v>529</v>
      </c>
      <c r="F299" s="50">
        <v>45917</v>
      </c>
      <c r="G299" s="27">
        <v>9</v>
      </c>
      <c r="H299" s="53" t="s">
        <v>1024</v>
      </c>
      <c r="I299" s="53" t="s">
        <v>520</v>
      </c>
      <c r="J299" s="26" t="s">
        <v>66</v>
      </c>
      <c r="K299" s="26"/>
      <c r="L299" s="27" t="s">
        <v>50</v>
      </c>
      <c r="M299" s="5" t="s">
        <v>51</v>
      </c>
      <c r="N299" s="27">
        <v>0</v>
      </c>
      <c r="O299" s="5" t="s">
        <v>53</v>
      </c>
      <c r="P299" s="5" t="s">
        <v>53</v>
      </c>
      <c r="Q299" s="29"/>
      <c r="R299" s="28"/>
      <c r="S299" s="28"/>
    </row>
    <row r="300" ht="29" customHeight="1" spans="1:19">
      <c r="A300" s="20">
        <v>299</v>
      </c>
      <c r="B300" s="48" t="s">
        <v>1025</v>
      </c>
      <c r="C300" s="49" t="s">
        <v>372</v>
      </c>
      <c r="D300" s="49" t="s">
        <v>373</v>
      </c>
      <c r="E300" s="52" t="s">
        <v>462</v>
      </c>
      <c r="F300" s="50">
        <v>45917</v>
      </c>
      <c r="G300" s="27">
        <v>9</v>
      </c>
      <c r="H300" s="53" t="s">
        <v>1026</v>
      </c>
      <c r="I300" s="53" t="s">
        <v>520</v>
      </c>
      <c r="J300" s="26" t="s">
        <v>66</v>
      </c>
      <c r="K300" s="26"/>
      <c r="L300" s="27" t="s">
        <v>50</v>
      </c>
      <c r="M300" s="5" t="s">
        <v>51</v>
      </c>
      <c r="N300" s="27">
        <v>5000</v>
      </c>
      <c r="O300" s="5" t="s">
        <v>53</v>
      </c>
      <c r="P300" s="5" t="s">
        <v>52</v>
      </c>
      <c r="Q300" s="29"/>
      <c r="R300" s="28"/>
      <c r="S300" s="28"/>
    </row>
    <row r="301" ht="29" customHeight="1" spans="1:19">
      <c r="A301" s="20">
        <v>300</v>
      </c>
      <c r="B301" s="48" t="s">
        <v>1027</v>
      </c>
      <c r="C301" s="49" t="s">
        <v>1028</v>
      </c>
      <c r="D301" s="49" t="s">
        <v>274</v>
      </c>
      <c r="E301" s="52" t="s">
        <v>539</v>
      </c>
      <c r="F301" s="50">
        <v>45917</v>
      </c>
      <c r="G301" s="27">
        <v>9</v>
      </c>
      <c r="H301" s="53" t="s">
        <v>1029</v>
      </c>
      <c r="I301" s="53" t="s">
        <v>1030</v>
      </c>
      <c r="J301" s="26" t="s">
        <v>66</v>
      </c>
      <c r="K301" s="26"/>
      <c r="L301" s="27" t="s">
        <v>50</v>
      </c>
      <c r="M301" s="5" t="s">
        <v>51</v>
      </c>
      <c r="N301" s="27"/>
      <c r="O301" s="5" t="s">
        <v>53</v>
      </c>
      <c r="P301" s="5" t="s">
        <v>52</v>
      </c>
      <c r="Q301" s="29"/>
      <c r="R301" s="28"/>
      <c r="S301" s="28"/>
    </row>
    <row r="302" ht="29" customHeight="1" spans="1:19">
      <c r="A302" s="20">
        <v>301</v>
      </c>
      <c r="B302" s="61" t="s">
        <v>1031</v>
      </c>
      <c r="C302" s="52" t="s">
        <v>182</v>
      </c>
      <c r="D302" s="52" t="s">
        <v>183</v>
      </c>
      <c r="E302" s="52" t="s">
        <v>462</v>
      </c>
      <c r="F302" s="74">
        <v>45918</v>
      </c>
      <c r="G302" s="27">
        <v>9</v>
      </c>
      <c r="H302" s="40" t="s">
        <v>1032</v>
      </c>
      <c r="I302" s="40"/>
      <c r="J302" s="26" t="s">
        <v>66</v>
      </c>
      <c r="K302" s="26"/>
      <c r="L302" s="27" t="s">
        <v>50</v>
      </c>
      <c r="M302" s="28" t="s">
        <v>51</v>
      </c>
      <c r="N302" s="27"/>
      <c r="O302" s="5" t="s">
        <v>53</v>
      </c>
      <c r="P302" s="5" t="s">
        <v>52</v>
      </c>
      <c r="Q302" s="29"/>
      <c r="R302" s="28"/>
      <c r="S302" s="28"/>
    </row>
    <row r="303" ht="29" customHeight="1" spans="1:19">
      <c r="A303" s="20">
        <v>302</v>
      </c>
      <c r="B303" s="61" t="s">
        <v>1033</v>
      </c>
      <c r="C303" s="52" t="s">
        <v>182</v>
      </c>
      <c r="D303" s="52" t="s">
        <v>183</v>
      </c>
      <c r="E303" s="52" t="s">
        <v>462</v>
      </c>
      <c r="F303" s="74">
        <v>45918</v>
      </c>
      <c r="G303" s="27">
        <v>9</v>
      </c>
      <c r="H303" s="40" t="s">
        <v>1034</v>
      </c>
      <c r="I303" s="40"/>
      <c r="J303" s="26" t="s">
        <v>66</v>
      </c>
      <c r="K303" s="26"/>
      <c r="L303" s="27" t="s">
        <v>50</v>
      </c>
      <c r="M303" s="28" t="s">
        <v>51</v>
      </c>
      <c r="N303" s="27">
        <v>5000</v>
      </c>
      <c r="O303" s="5" t="s">
        <v>53</v>
      </c>
      <c r="P303" s="5" t="s">
        <v>52</v>
      </c>
      <c r="Q303" s="29"/>
      <c r="R303" s="28"/>
      <c r="S303" s="28"/>
    </row>
    <row r="304" ht="29" customHeight="1" spans="1:19">
      <c r="A304" s="20">
        <v>303</v>
      </c>
      <c r="B304" s="61" t="s">
        <v>1035</v>
      </c>
      <c r="C304" s="52" t="s">
        <v>89</v>
      </c>
      <c r="D304" s="52" t="s">
        <v>90</v>
      </c>
      <c r="E304" s="52" t="s">
        <v>529</v>
      </c>
      <c r="F304" s="50">
        <v>45919</v>
      </c>
      <c r="G304" s="27">
        <v>9</v>
      </c>
      <c r="H304" s="40" t="s">
        <v>1036</v>
      </c>
      <c r="I304" s="40"/>
      <c r="J304" s="26" t="s">
        <v>49</v>
      </c>
      <c r="K304" s="26"/>
      <c r="L304" s="27" t="s">
        <v>50</v>
      </c>
      <c r="M304" s="28" t="s">
        <v>60</v>
      </c>
      <c r="N304" s="27"/>
      <c r="O304" s="5" t="s">
        <v>52</v>
      </c>
      <c r="P304" s="5" t="s">
        <v>52</v>
      </c>
      <c r="Q304" s="29"/>
      <c r="R304" s="28"/>
      <c r="S304" s="28"/>
    </row>
    <row r="305" ht="29" customHeight="1" spans="1:19">
      <c r="A305" s="20">
        <v>304</v>
      </c>
      <c r="B305" s="61" t="s">
        <v>1037</v>
      </c>
      <c r="C305" s="52" t="s">
        <v>1038</v>
      </c>
      <c r="D305" s="52" t="s">
        <v>274</v>
      </c>
      <c r="E305" s="52" t="s">
        <v>539</v>
      </c>
      <c r="F305" s="74">
        <v>45919</v>
      </c>
      <c r="G305" s="27">
        <v>9</v>
      </c>
      <c r="H305" s="40" t="s">
        <v>1039</v>
      </c>
      <c r="I305" s="40"/>
      <c r="J305" s="26" t="s">
        <v>66</v>
      </c>
      <c r="K305" s="26"/>
      <c r="L305" s="27" t="s">
        <v>50</v>
      </c>
      <c r="M305" s="28" t="s">
        <v>51</v>
      </c>
      <c r="N305" s="27">
        <v>514</v>
      </c>
      <c r="O305" s="5" t="s">
        <v>53</v>
      </c>
      <c r="P305" s="5" t="s">
        <v>53</v>
      </c>
      <c r="Q305" s="29"/>
      <c r="R305" s="28"/>
      <c r="S305" s="28"/>
    </row>
    <row r="306" ht="29" customHeight="1" spans="1:19">
      <c r="A306" s="20">
        <v>305</v>
      </c>
      <c r="B306" s="61" t="s">
        <v>1040</v>
      </c>
      <c r="C306" s="52" t="s">
        <v>486</v>
      </c>
      <c r="D306" s="52" t="s">
        <v>237</v>
      </c>
      <c r="E306" s="52" t="s">
        <v>462</v>
      </c>
      <c r="F306" s="74">
        <v>45920</v>
      </c>
      <c r="G306" s="27">
        <v>9</v>
      </c>
      <c r="H306" s="40" t="s">
        <v>1041</v>
      </c>
      <c r="I306" s="40"/>
      <c r="J306" s="26" t="s">
        <v>106</v>
      </c>
      <c r="K306" s="26"/>
      <c r="L306" s="27"/>
      <c r="M306" s="28"/>
      <c r="N306" s="27">
        <v>2000</v>
      </c>
      <c r="O306" s="5" t="s">
        <v>53</v>
      </c>
      <c r="P306" s="5" t="s">
        <v>53</v>
      </c>
      <c r="Q306" s="29"/>
      <c r="R306" s="28"/>
      <c r="S306" s="28"/>
    </row>
    <row r="307" ht="29" customHeight="1" spans="1:19">
      <c r="A307" s="20">
        <v>306</v>
      </c>
      <c r="B307" s="61" t="s">
        <v>1042</v>
      </c>
      <c r="C307" s="52" t="s">
        <v>172</v>
      </c>
      <c r="D307" s="52" t="s">
        <v>155</v>
      </c>
      <c r="E307" s="52" t="s">
        <v>462</v>
      </c>
      <c r="F307" s="74">
        <v>45920</v>
      </c>
      <c r="G307" s="27">
        <v>9</v>
      </c>
      <c r="H307" s="40" t="s">
        <v>1043</v>
      </c>
      <c r="I307" s="40"/>
      <c r="J307" s="26" t="s">
        <v>127</v>
      </c>
      <c r="K307" s="26"/>
      <c r="L307" s="27" t="s">
        <v>50</v>
      </c>
      <c r="M307" s="28" t="s">
        <v>60</v>
      </c>
      <c r="N307" s="27"/>
      <c r="O307" s="5" t="s">
        <v>52</v>
      </c>
      <c r="P307" s="5" t="s">
        <v>52</v>
      </c>
      <c r="Q307" s="29"/>
      <c r="R307" s="28"/>
      <c r="S307" s="28"/>
    </row>
    <row r="308" ht="29" customHeight="1" spans="1:19">
      <c r="A308" s="20">
        <v>307</v>
      </c>
      <c r="B308" s="61" t="s">
        <v>1044</v>
      </c>
      <c r="C308" s="52" t="s">
        <v>55</v>
      </c>
      <c r="D308" s="52" t="s">
        <v>56</v>
      </c>
      <c r="E308" s="52" t="s">
        <v>462</v>
      </c>
      <c r="F308" s="82">
        <v>45920</v>
      </c>
      <c r="G308" s="27">
        <v>9</v>
      </c>
      <c r="H308" s="40" t="s">
        <v>1045</v>
      </c>
      <c r="I308" s="40"/>
      <c r="J308" s="26" t="s">
        <v>59</v>
      </c>
      <c r="K308" s="26"/>
      <c r="L308" s="27" t="s">
        <v>50</v>
      </c>
      <c r="M308" s="28" t="s">
        <v>60</v>
      </c>
      <c r="N308" s="27">
        <v>20000</v>
      </c>
      <c r="O308" s="5" t="s">
        <v>52</v>
      </c>
      <c r="P308" s="5" t="s">
        <v>52</v>
      </c>
      <c r="Q308" s="29"/>
      <c r="R308" s="28"/>
      <c r="S308" s="28"/>
    </row>
    <row r="309" ht="29" customHeight="1" spans="1:19">
      <c r="A309" s="20">
        <v>308</v>
      </c>
      <c r="B309" s="61" t="s">
        <v>1046</v>
      </c>
      <c r="C309" s="52" t="s">
        <v>469</v>
      </c>
      <c r="D309" s="52" t="s">
        <v>237</v>
      </c>
      <c r="E309" s="52" t="s">
        <v>462</v>
      </c>
      <c r="F309" s="74">
        <v>45921</v>
      </c>
      <c r="G309" s="27">
        <v>9</v>
      </c>
      <c r="H309" s="40" t="s">
        <v>1047</v>
      </c>
      <c r="I309" s="40"/>
      <c r="J309" s="26" t="s">
        <v>106</v>
      </c>
      <c r="K309" s="26"/>
      <c r="L309" s="27"/>
      <c r="M309" s="28"/>
      <c r="N309" s="27"/>
      <c r="O309" s="5" t="s">
        <v>53</v>
      </c>
      <c r="P309" s="5" t="s">
        <v>53</v>
      </c>
      <c r="Q309" s="29"/>
      <c r="R309" s="28"/>
      <c r="S309" s="28"/>
    </row>
    <row r="310" ht="29" customHeight="1" spans="1:19">
      <c r="A310" s="20">
        <v>309</v>
      </c>
      <c r="B310" s="61" t="s">
        <v>1048</v>
      </c>
      <c r="C310" s="52" t="s">
        <v>372</v>
      </c>
      <c r="D310" s="52" t="s">
        <v>373</v>
      </c>
      <c r="E310" s="52" t="s">
        <v>462</v>
      </c>
      <c r="F310" s="74">
        <v>45922</v>
      </c>
      <c r="G310" s="27">
        <v>9</v>
      </c>
      <c r="H310" s="40" t="s">
        <v>1049</v>
      </c>
      <c r="I310" s="40"/>
      <c r="J310" s="26" t="s">
        <v>66</v>
      </c>
      <c r="K310" s="26"/>
      <c r="L310" s="27" t="e">
        <f>VLOOKUP(#REF!,#REF!,3,0)</f>
        <v>#REF!</v>
      </c>
      <c r="M310" s="28" t="e">
        <f>VLOOKUP(#REF!,#REF!,2,0)</f>
        <v>#REF!</v>
      </c>
      <c r="N310" s="27"/>
      <c r="O310" s="5" t="s">
        <v>53</v>
      </c>
      <c r="P310" s="5" t="s">
        <v>52</v>
      </c>
      <c r="Q310" s="29"/>
      <c r="R310" s="28"/>
      <c r="S310" s="28"/>
    </row>
    <row r="311" ht="29" customHeight="1" spans="1:19">
      <c r="A311" s="20">
        <v>310</v>
      </c>
      <c r="B311" s="61" t="s">
        <v>1050</v>
      </c>
      <c r="C311" s="52" t="s">
        <v>1051</v>
      </c>
      <c r="D311" s="52" t="s">
        <v>416</v>
      </c>
      <c r="E311" s="52" t="s">
        <v>529</v>
      </c>
      <c r="F311" s="74">
        <v>45922</v>
      </c>
      <c r="G311" s="27">
        <v>9</v>
      </c>
      <c r="H311" s="62" t="s">
        <v>1052</v>
      </c>
      <c r="I311" s="40"/>
      <c r="J311" s="26" t="s">
        <v>106</v>
      </c>
      <c r="K311" s="26"/>
      <c r="L311" s="27"/>
      <c r="M311" s="28"/>
      <c r="N311" s="27"/>
      <c r="O311" s="5" t="s">
        <v>53</v>
      </c>
      <c r="P311" s="5" t="s">
        <v>53</v>
      </c>
      <c r="Q311" s="29"/>
      <c r="R311" s="28"/>
      <c r="S311" s="28"/>
    </row>
    <row r="312" ht="29" customHeight="1" spans="1:19">
      <c r="A312" s="20">
        <v>311</v>
      </c>
      <c r="B312" s="61" t="s">
        <v>1053</v>
      </c>
      <c r="C312" s="52" t="s">
        <v>505</v>
      </c>
      <c r="D312" s="52" t="s">
        <v>274</v>
      </c>
      <c r="E312" s="52" t="s">
        <v>539</v>
      </c>
      <c r="F312" s="74">
        <v>45922</v>
      </c>
      <c r="G312" s="27">
        <v>9</v>
      </c>
      <c r="H312" s="40" t="s">
        <v>1054</v>
      </c>
      <c r="I312" s="40"/>
      <c r="J312" s="26" t="s">
        <v>59</v>
      </c>
      <c r="K312" s="26"/>
      <c r="L312" s="27" t="e">
        <f>VLOOKUP(#REF!,#REF!,3,0)</f>
        <v>#REF!</v>
      </c>
      <c r="M312" s="28" t="e">
        <f>VLOOKUP(#REF!,#REF!,2,0)</f>
        <v>#REF!</v>
      </c>
      <c r="N312" s="27">
        <v>7000</v>
      </c>
      <c r="O312" s="5" t="s">
        <v>52</v>
      </c>
      <c r="P312" s="5" t="s">
        <v>52</v>
      </c>
      <c r="Q312" s="29"/>
      <c r="R312" s="28"/>
      <c r="S312" s="28"/>
    </row>
    <row r="313" ht="29" customHeight="1" spans="1:19">
      <c r="A313" s="20">
        <v>312</v>
      </c>
      <c r="B313" s="61" t="s">
        <v>1055</v>
      </c>
      <c r="C313" s="52" t="s">
        <v>372</v>
      </c>
      <c r="D313" s="52" t="s">
        <v>373</v>
      </c>
      <c r="E313" s="52" t="s">
        <v>462</v>
      </c>
      <c r="F313" s="74">
        <v>45922</v>
      </c>
      <c r="G313" s="27">
        <v>9</v>
      </c>
      <c r="H313" s="40" t="s">
        <v>1056</v>
      </c>
      <c r="I313" s="40"/>
      <c r="J313" s="26" t="s">
        <v>556</v>
      </c>
      <c r="K313" s="26"/>
      <c r="L313" s="27" t="e">
        <f>VLOOKUP(#REF!,#REF!,3,0)</f>
        <v>#REF!</v>
      </c>
      <c r="M313" s="28" t="e">
        <f>VLOOKUP(#REF!,#REF!,2,0)</f>
        <v>#REF!</v>
      </c>
      <c r="N313" s="27">
        <v>10000</v>
      </c>
      <c r="O313" s="5" t="s">
        <v>52</v>
      </c>
      <c r="P313" s="5" t="s">
        <v>52</v>
      </c>
      <c r="Q313" s="29"/>
      <c r="R313" s="28"/>
      <c r="S313" s="28"/>
    </row>
    <row r="314" ht="29" customHeight="1" spans="1:19">
      <c r="A314" s="20">
        <v>313</v>
      </c>
      <c r="B314" s="61" t="s">
        <v>1057</v>
      </c>
      <c r="C314" s="52" t="s">
        <v>886</v>
      </c>
      <c r="D314" s="52" t="s">
        <v>115</v>
      </c>
      <c r="E314" s="52" t="s">
        <v>539</v>
      </c>
      <c r="F314" s="50">
        <v>45923</v>
      </c>
      <c r="G314" s="27">
        <v>9</v>
      </c>
      <c r="H314" s="40" t="s">
        <v>1058</v>
      </c>
      <c r="I314" s="40"/>
      <c r="J314" s="26" t="s">
        <v>325</v>
      </c>
      <c r="K314" s="26"/>
      <c r="L314" s="27" t="e">
        <f>VLOOKUP(#REF!,#REF!,3,0)</f>
        <v>#REF!</v>
      </c>
      <c r="M314" s="28" t="e">
        <f>VLOOKUP(#REF!,#REF!,2,0)</f>
        <v>#REF!</v>
      </c>
      <c r="N314" s="27"/>
      <c r="O314" s="5" t="s">
        <v>53</v>
      </c>
      <c r="P314" s="5" t="s">
        <v>53</v>
      </c>
      <c r="Q314" s="29"/>
      <c r="R314" s="28"/>
      <c r="S314" s="28"/>
    </row>
    <row r="315" ht="29" customHeight="1" spans="1:19">
      <c r="A315" s="20">
        <v>314</v>
      </c>
      <c r="B315" s="61" t="s">
        <v>1059</v>
      </c>
      <c r="C315" s="52" t="s">
        <v>201</v>
      </c>
      <c r="D315" s="52" t="s">
        <v>124</v>
      </c>
      <c r="E315" s="52" t="s">
        <v>529</v>
      </c>
      <c r="F315" s="74">
        <v>45923</v>
      </c>
      <c r="G315" s="27">
        <v>9</v>
      </c>
      <c r="H315" s="40" t="s">
        <v>1060</v>
      </c>
      <c r="I315" s="40"/>
      <c r="J315" s="26" t="s">
        <v>127</v>
      </c>
      <c r="K315" s="26"/>
      <c r="L315" s="27" t="e">
        <f>VLOOKUP(#REF!,#REF!,3,0)</f>
        <v>#REF!</v>
      </c>
      <c r="M315" s="28" t="e">
        <f>VLOOKUP(#REF!,#REF!,2,0)</f>
        <v>#REF!</v>
      </c>
      <c r="N315" s="27"/>
      <c r="O315" s="5" t="s">
        <v>53</v>
      </c>
      <c r="P315" s="5" t="s">
        <v>52</v>
      </c>
      <c r="Q315" s="29"/>
      <c r="R315" s="28"/>
      <c r="S315" s="28"/>
    </row>
    <row r="316" ht="29" customHeight="1" spans="1:19">
      <c r="A316" s="20">
        <v>315</v>
      </c>
      <c r="B316" s="61" t="s">
        <v>1061</v>
      </c>
      <c r="C316" s="52" t="s">
        <v>955</v>
      </c>
      <c r="D316" s="52" t="s">
        <v>237</v>
      </c>
      <c r="E316" s="52" t="s">
        <v>462</v>
      </c>
      <c r="F316" s="74">
        <v>45923</v>
      </c>
      <c r="G316" s="27">
        <v>9</v>
      </c>
      <c r="H316" s="40" t="s">
        <v>1062</v>
      </c>
      <c r="I316" s="40"/>
      <c r="J316" s="26" t="s">
        <v>127</v>
      </c>
      <c r="K316" s="26"/>
      <c r="L316" s="27" t="e">
        <f>VLOOKUP(#REF!,#REF!,3,0)</f>
        <v>#REF!</v>
      </c>
      <c r="M316" s="28" t="e">
        <f>VLOOKUP(#REF!,#REF!,2,0)</f>
        <v>#REF!</v>
      </c>
      <c r="N316" s="27"/>
      <c r="O316" s="5" t="s">
        <v>52</v>
      </c>
      <c r="P316" s="5" t="s">
        <v>52</v>
      </c>
      <c r="Q316" s="29"/>
      <c r="R316" s="28"/>
      <c r="S316" s="28"/>
    </row>
    <row r="317" ht="29" customHeight="1" spans="1:19">
      <c r="A317" s="20">
        <v>316</v>
      </c>
      <c r="B317" s="61" t="s">
        <v>1063</v>
      </c>
      <c r="C317" s="52" t="s">
        <v>62</v>
      </c>
      <c r="D317" s="52" t="s">
        <v>63</v>
      </c>
      <c r="E317" s="52" t="s">
        <v>539</v>
      </c>
      <c r="F317" s="82">
        <v>45923</v>
      </c>
      <c r="G317" s="27">
        <v>9</v>
      </c>
      <c r="H317" s="40" t="s">
        <v>1064</v>
      </c>
      <c r="I317" s="40"/>
      <c r="J317" s="26" t="s">
        <v>66</v>
      </c>
      <c r="K317" s="26"/>
      <c r="L317" s="27" t="e">
        <f>VLOOKUP(#REF!,#REF!,3,0)</f>
        <v>#REF!</v>
      </c>
      <c r="M317" s="28" t="e">
        <f>VLOOKUP(#REF!,#REF!,2,0)</f>
        <v>#REF!</v>
      </c>
      <c r="N317" s="27"/>
      <c r="O317" s="5" t="s">
        <v>53</v>
      </c>
      <c r="P317" s="5" t="s">
        <v>52</v>
      </c>
      <c r="Q317" s="29"/>
      <c r="R317" s="28"/>
      <c r="S317" s="28"/>
    </row>
    <row r="318" ht="29" customHeight="1" spans="1:19">
      <c r="A318" s="20">
        <v>317</v>
      </c>
      <c r="B318" s="61" t="s">
        <v>1065</v>
      </c>
      <c r="C318" s="52" t="s">
        <v>167</v>
      </c>
      <c r="D318" s="52" t="s">
        <v>74</v>
      </c>
      <c r="E318" s="52" t="s">
        <v>462</v>
      </c>
      <c r="F318" s="74">
        <v>45923</v>
      </c>
      <c r="G318" s="27">
        <v>9</v>
      </c>
      <c r="H318" s="40" t="s">
        <v>1066</v>
      </c>
      <c r="I318" s="40"/>
      <c r="J318" s="26" t="s">
        <v>66</v>
      </c>
      <c r="K318" s="26"/>
      <c r="L318" s="27" t="e">
        <f>VLOOKUP(#REF!,#REF!,3,0)</f>
        <v>#REF!</v>
      </c>
      <c r="M318" s="28" t="e">
        <f>VLOOKUP(#REF!,#REF!,2,0)</f>
        <v>#REF!</v>
      </c>
      <c r="N318" s="27"/>
      <c r="O318" s="5" t="s">
        <v>53</v>
      </c>
      <c r="P318" s="5" t="s">
        <v>52</v>
      </c>
      <c r="Q318" s="29"/>
      <c r="R318" s="28"/>
      <c r="S318" s="28"/>
    </row>
    <row r="319" ht="29" customHeight="1" spans="1:19">
      <c r="A319" s="20">
        <v>318</v>
      </c>
      <c r="B319" s="61" t="s">
        <v>1067</v>
      </c>
      <c r="C319" s="52" t="s">
        <v>167</v>
      </c>
      <c r="D319" s="52" t="s">
        <v>74</v>
      </c>
      <c r="E319" s="52" t="s">
        <v>462</v>
      </c>
      <c r="F319" s="74">
        <v>45924</v>
      </c>
      <c r="G319" s="27">
        <v>9</v>
      </c>
      <c r="H319" s="40" t="s">
        <v>1068</v>
      </c>
      <c r="I319" s="40"/>
      <c r="J319" s="26" t="s">
        <v>66</v>
      </c>
      <c r="K319" s="26"/>
      <c r="L319" s="27" t="e">
        <f>VLOOKUP(#REF!,#REF!,3,0)</f>
        <v>#REF!</v>
      </c>
      <c r="M319" s="28" t="e">
        <f>VLOOKUP(#REF!,#REF!,2,0)</f>
        <v>#REF!</v>
      </c>
      <c r="N319" s="27"/>
      <c r="O319" s="5" t="s">
        <v>53</v>
      </c>
      <c r="P319" s="5" t="s">
        <v>52</v>
      </c>
      <c r="Q319" s="29"/>
      <c r="R319" s="28"/>
      <c r="S319" s="28"/>
    </row>
    <row r="320" ht="29" customHeight="1" spans="1:19">
      <c r="A320" s="20">
        <v>319</v>
      </c>
      <c r="B320" s="83" t="s">
        <v>1069</v>
      </c>
      <c r="C320" s="40" t="s">
        <v>1070</v>
      </c>
      <c r="D320" s="52" t="s">
        <v>103</v>
      </c>
      <c r="E320" s="52" t="s">
        <v>462</v>
      </c>
      <c r="F320" s="74">
        <v>45924</v>
      </c>
      <c r="G320" s="27">
        <v>9</v>
      </c>
      <c r="H320" s="40" t="s">
        <v>1071</v>
      </c>
      <c r="I320" s="40"/>
      <c r="J320" s="26" t="s">
        <v>106</v>
      </c>
      <c r="K320" s="26"/>
      <c r="L320" s="27"/>
      <c r="M320" s="28"/>
      <c r="N320" s="27"/>
      <c r="O320" s="5" t="s">
        <v>53</v>
      </c>
      <c r="P320" s="5" t="s">
        <v>53</v>
      </c>
      <c r="Q320" s="29"/>
      <c r="R320" s="28"/>
      <c r="S320" s="28"/>
    </row>
    <row r="321" ht="29" customHeight="1" spans="1:19">
      <c r="A321" s="20">
        <v>320</v>
      </c>
      <c r="B321" s="61" t="s">
        <v>1072</v>
      </c>
      <c r="C321" s="52" t="s">
        <v>273</v>
      </c>
      <c r="D321" s="52" t="s">
        <v>274</v>
      </c>
      <c r="E321" s="52" t="s">
        <v>539</v>
      </c>
      <c r="F321" s="50">
        <v>45926</v>
      </c>
      <c r="G321" s="27">
        <v>9</v>
      </c>
      <c r="H321" s="40" t="s">
        <v>1073</v>
      </c>
      <c r="I321" s="40" t="s">
        <v>1074</v>
      </c>
      <c r="J321" s="26" t="s">
        <v>66</v>
      </c>
      <c r="K321" s="26"/>
      <c r="L321" s="27" t="e">
        <f>VLOOKUP(#REF!,#REF!,3,0)</f>
        <v>#REF!</v>
      </c>
      <c r="M321" s="28" t="e">
        <f>VLOOKUP(#REF!,#REF!,2,0)</f>
        <v>#REF!</v>
      </c>
      <c r="N321" s="27"/>
      <c r="O321" s="5" t="s">
        <v>53</v>
      </c>
      <c r="P321" s="5" t="s">
        <v>52</v>
      </c>
      <c r="Q321" s="29"/>
      <c r="R321" s="28"/>
      <c r="S321" s="28"/>
    </row>
    <row r="322" ht="29" customHeight="1" spans="1:19">
      <c r="A322" s="20">
        <v>321</v>
      </c>
      <c r="B322" s="61" t="s">
        <v>1075</v>
      </c>
      <c r="C322" s="52" t="s">
        <v>94</v>
      </c>
      <c r="D322" s="52" t="s">
        <v>95</v>
      </c>
      <c r="E322" s="52" t="s">
        <v>539</v>
      </c>
      <c r="F322" s="50">
        <v>45927</v>
      </c>
      <c r="G322" s="27">
        <v>9</v>
      </c>
      <c r="H322" s="40" t="s">
        <v>1076</v>
      </c>
      <c r="I322" s="40" t="s">
        <v>963</v>
      </c>
      <c r="J322" s="26" t="s">
        <v>234</v>
      </c>
      <c r="K322" s="26"/>
      <c r="L322" s="27" t="e">
        <f>VLOOKUP(#REF!,#REF!,3,0)</f>
        <v>#REF!</v>
      </c>
      <c r="M322" s="28" t="e">
        <f>VLOOKUP(#REF!,#REF!,2,0)</f>
        <v>#REF!</v>
      </c>
      <c r="N322" s="27"/>
      <c r="O322" s="5" t="s">
        <v>53</v>
      </c>
      <c r="P322" s="5" t="s">
        <v>52</v>
      </c>
      <c r="Q322" s="29"/>
      <c r="R322" s="28"/>
      <c r="S322" s="28"/>
    </row>
    <row r="323" ht="29" customHeight="1" spans="1:19">
      <c r="A323" s="20">
        <v>322</v>
      </c>
      <c r="B323" s="84" t="s">
        <v>1077</v>
      </c>
      <c r="C323" s="49" t="s">
        <v>114</v>
      </c>
      <c r="D323" s="52" t="s">
        <v>115</v>
      </c>
      <c r="E323" s="52" t="s">
        <v>539</v>
      </c>
      <c r="F323" s="50">
        <v>45928</v>
      </c>
      <c r="G323" s="27">
        <v>9</v>
      </c>
      <c r="H323" s="53" t="s">
        <v>1078</v>
      </c>
      <c r="I323" s="40" t="s">
        <v>562</v>
      </c>
      <c r="J323" s="26" t="s">
        <v>59</v>
      </c>
      <c r="K323" s="26"/>
      <c r="L323" s="27" t="s">
        <v>50</v>
      </c>
      <c r="M323" s="28" t="s">
        <v>60</v>
      </c>
      <c r="N323" s="27"/>
      <c r="O323" s="5" t="s">
        <v>52</v>
      </c>
      <c r="P323" s="5" t="s">
        <v>52</v>
      </c>
      <c r="Q323" s="29"/>
      <c r="R323" s="28"/>
      <c r="S323" s="28"/>
    </row>
    <row r="324" ht="29" customHeight="1" spans="1:19">
      <c r="A324" s="20">
        <v>323</v>
      </c>
      <c r="B324" s="61" t="s">
        <v>1079</v>
      </c>
      <c r="C324" s="49" t="s">
        <v>368</v>
      </c>
      <c r="D324" s="52" t="s">
        <v>95</v>
      </c>
      <c r="E324" s="52" t="s">
        <v>539</v>
      </c>
      <c r="F324" s="50">
        <v>45929</v>
      </c>
      <c r="G324" s="27">
        <v>9</v>
      </c>
      <c r="H324" s="53" t="s">
        <v>1080</v>
      </c>
      <c r="I324" s="40" t="s">
        <v>741</v>
      </c>
      <c r="J324" s="26" t="s">
        <v>106</v>
      </c>
      <c r="K324" s="26"/>
      <c r="L324" s="27" t="s">
        <v>107</v>
      </c>
      <c r="M324" s="28" t="s">
        <v>108</v>
      </c>
      <c r="N324" s="27"/>
      <c r="O324" s="5" t="s">
        <v>53</v>
      </c>
      <c r="P324" s="5" t="s">
        <v>53</v>
      </c>
      <c r="Q324" s="29"/>
      <c r="R324" s="28"/>
      <c r="S324" s="28"/>
    </row>
    <row r="325" ht="29" customHeight="1" spans="1:19">
      <c r="A325" s="20">
        <v>324</v>
      </c>
      <c r="B325" s="61" t="s">
        <v>1081</v>
      </c>
      <c r="C325" s="52" t="s">
        <v>486</v>
      </c>
      <c r="D325" s="52" t="s">
        <v>237</v>
      </c>
      <c r="E325" s="52" t="s">
        <v>462</v>
      </c>
      <c r="F325" s="50">
        <v>45930</v>
      </c>
      <c r="G325" s="27">
        <v>9</v>
      </c>
      <c r="H325" s="40" t="s">
        <v>1082</v>
      </c>
      <c r="I325" s="40"/>
      <c r="J325" s="26" t="s">
        <v>49</v>
      </c>
      <c r="K325" s="26"/>
      <c r="L325" s="27" t="s">
        <v>50</v>
      </c>
      <c r="M325" s="28" t="s">
        <v>51</v>
      </c>
      <c r="N325" s="27">
        <v>200</v>
      </c>
      <c r="O325" s="5" t="s">
        <v>53</v>
      </c>
      <c r="P325" s="5" t="s">
        <v>52</v>
      </c>
      <c r="Q325" s="29"/>
      <c r="R325" s="28"/>
      <c r="S325" s="28"/>
    </row>
    <row r="326" ht="29" customHeight="1" spans="1:19">
      <c r="A326" s="20">
        <v>325</v>
      </c>
      <c r="B326" s="48" t="s">
        <v>1083</v>
      </c>
      <c r="C326" s="49" t="s">
        <v>129</v>
      </c>
      <c r="D326" s="52" t="s">
        <v>103</v>
      </c>
      <c r="E326" s="52" t="e">
        <f>VLOOKUP(D326,#REF!,2,0)</f>
        <v>#REF!</v>
      </c>
      <c r="F326" s="50">
        <v>45930</v>
      </c>
      <c r="G326" s="52">
        <v>10</v>
      </c>
      <c r="H326" s="85" t="s">
        <v>1084</v>
      </c>
      <c r="I326" s="53" t="s">
        <v>1085</v>
      </c>
      <c r="J326" s="26" t="s">
        <v>170</v>
      </c>
      <c r="K326" s="24" t="s">
        <v>1086</v>
      </c>
      <c r="L326" s="27" t="e">
        <f>VLOOKUP(K326,#REF!,2,0)</f>
        <v>#REF!</v>
      </c>
      <c r="M326" s="28" t="e">
        <f>VLOOKUP(L326,#REF!,2,0)</f>
        <v>#REF!</v>
      </c>
      <c r="N326" s="26" t="s">
        <v>1087</v>
      </c>
      <c r="O326" s="5" t="s">
        <v>53</v>
      </c>
      <c r="P326" s="5" t="s">
        <v>53</v>
      </c>
      <c r="Q326" s="29"/>
      <c r="R326" s="28"/>
      <c r="S326" s="28"/>
    </row>
    <row r="327" ht="29" customHeight="1" spans="1:19">
      <c r="A327" s="20">
        <v>326</v>
      </c>
      <c r="B327" s="48" t="s">
        <v>1088</v>
      </c>
      <c r="C327" s="49" t="s">
        <v>129</v>
      </c>
      <c r="D327" s="49" t="s">
        <v>103</v>
      </c>
      <c r="E327" s="52" t="e">
        <f>VLOOKUP(D327,#REF!,2,0)</f>
        <v>#REF!</v>
      </c>
      <c r="F327" s="86">
        <v>45929</v>
      </c>
      <c r="G327" s="52">
        <v>10</v>
      </c>
      <c r="H327" s="85" t="s">
        <v>1089</v>
      </c>
      <c r="I327" s="53" t="s">
        <v>1090</v>
      </c>
      <c r="J327" s="26" t="s">
        <v>66</v>
      </c>
      <c r="K327" s="24" t="s">
        <v>1091</v>
      </c>
      <c r="L327" s="27" t="e">
        <f>VLOOKUP(K327,#REF!,2,0)</f>
        <v>#REF!</v>
      </c>
      <c r="M327" s="28" t="e">
        <f>VLOOKUP(L327,#REF!,2,0)</f>
        <v>#REF!</v>
      </c>
      <c r="N327" s="26" t="s">
        <v>1087</v>
      </c>
      <c r="O327" s="5" t="s">
        <v>53</v>
      </c>
      <c r="P327" s="5" t="s">
        <v>53</v>
      </c>
      <c r="Q327" s="29"/>
      <c r="R327" s="28"/>
      <c r="S327" s="28"/>
    </row>
    <row r="328" ht="29" customHeight="1" spans="1:19">
      <c r="A328" s="20">
        <v>327</v>
      </c>
      <c r="B328" s="48" t="s">
        <v>1092</v>
      </c>
      <c r="C328" s="49" t="s">
        <v>273</v>
      </c>
      <c r="D328" s="52" t="s">
        <v>274</v>
      </c>
      <c r="E328" s="52" t="e">
        <f>VLOOKUP(D328,#REF!,2,0)</f>
        <v>#REF!</v>
      </c>
      <c r="F328" s="50">
        <v>45932</v>
      </c>
      <c r="G328" s="27">
        <v>10</v>
      </c>
      <c r="H328" s="85" t="s">
        <v>1093</v>
      </c>
      <c r="I328" s="53" t="s">
        <v>1094</v>
      </c>
      <c r="J328" s="26" t="s">
        <v>158</v>
      </c>
      <c r="K328" s="24" t="s">
        <v>1095</v>
      </c>
      <c r="L328" s="27" t="e">
        <f>VLOOKUP(K328,#REF!,2,0)</f>
        <v>#REF!</v>
      </c>
      <c r="M328" s="28" t="e">
        <f>VLOOKUP(L328,#REF!,2,0)</f>
        <v>#REF!</v>
      </c>
      <c r="N328" s="49" t="s">
        <v>1096</v>
      </c>
      <c r="O328" s="5" t="s">
        <v>52</v>
      </c>
      <c r="P328" s="5" t="s">
        <v>52</v>
      </c>
      <c r="Q328" s="29"/>
      <c r="R328" s="28"/>
      <c r="S328" s="28"/>
    </row>
    <row r="329" ht="29" customHeight="1" spans="1:19">
      <c r="A329" s="20">
        <v>328</v>
      </c>
      <c r="B329" s="48" t="s">
        <v>1097</v>
      </c>
      <c r="C329" s="49" t="s">
        <v>372</v>
      </c>
      <c r="D329" s="49" t="s">
        <v>373</v>
      </c>
      <c r="E329" s="52" t="e">
        <f>VLOOKUP(D329,#REF!,2,0)</f>
        <v>#REF!</v>
      </c>
      <c r="F329" s="86">
        <v>45932</v>
      </c>
      <c r="G329" s="27">
        <v>11</v>
      </c>
      <c r="H329" s="53" t="s">
        <v>1098</v>
      </c>
      <c r="I329" s="53" t="s">
        <v>1099</v>
      </c>
      <c r="J329" s="26" t="s">
        <v>325</v>
      </c>
      <c r="K329" s="24" t="s">
        <v>1100</v>
      </c>
      <c r="L329" s="27" t="e">
        <f>VLOOKUP(K329,#REF!,2,0)</f>
        <v>#REF!</v>
      </c>
      <c r="M329" s="28" t="e">
        <f>VLOOKUP(L329,#REF!,2,0)</f>
        <v>#REF!</v>
      </c>
      <c r="N329" s="52"/>
      <c r="O329" s="5" t="s">
        <v>53</v>
      </c>
      <c r="P329" s="5" t="s">
        <v>53</v>
      </c>
      <c r="Q329" s="29"/>
      <c r="R329" s="28"/>
      <c r="S329" s="28"/>
    </row>
    <row r="330" ht="29" customHeight="1" spans="1:19">
      <c r="A330" s="20">
        <v>329</v>
      </c>
      <c r="B330" s="48" t="s">
        <v>1101</v>
      </c>
      <c r="C330" s="49" t="s">
        <v>89</v>
      </c>
      <c r="D330" s="52" t="s">
        <v>90</v>
      </c>
      <c r="E330" s="52" t="e">
        <f>VLOOKUP(D330,#REF!,2,0)</f>
        <v>#REF!</v>
      </c>
      <c r="F330" s="50">
        <v>45932</v>
      </c>
      <c r="G330" s="27">
        <v>10</v>
      </c>
      <c r="H330" s="85" t="s">
        <v>1102</v>
      </c>
      <c r="I330" s="53" t="s">
        <v>1103</v>
      </c>
      <c r="J330" s="26" t="s">
        <v>700</v>
      </c>
      <c r="K330" s="24" t="s">
        <v>1104</v>
      </c>
      <c r="L330" s="27" t="e">
        <f>VLOOKUP(K330,#REF!,2,0)</f>
        <v>#REF!</v>
      </c>
      <c r="M330" s="28" t="e">
        <f>VLOOKUP(L330,#REF!,2,0)</f>
        <v>#REF!</v>
      </c>
      <c r="N330" s="49" t="s">
        <v>1105</v>
      </c>
      <c r="O330" s="5" t="s">
        <v>52</v>
      </c>
      <c r="P330" s="5" t="s">
        <v>52</v>
      </c>
      <c r="Q330" s="29"/>
      <c r="R330" s="28"/>
      <c r="S330" s="28"/>
    </row>
    <row r="331" ht="29" customHeight="1" spans="1:19">
      <c r="A331" s="20">
        <v>330</v>
      </c>
      <c r="B331" s="48" t="s">
        <v>1106</v>
      </c>
      <c r="C331" s="49" t="s">
        <v>1107</v>
      </c>
      <c r="D331" s="49" t="s">
        <v>74</v>
      </c>
      <c r="E331" s="52" t="e">
        <f>VLOOKUP(D331,#REF!,2,0)</f>
        <v>#REF!</v>
      </c>
      <c r="F331" s="50">
        <v>45933</v>
      </c>
      <c r="G331" s="27">
        <v>10</v>
      </c>
      <c r="H331" s="85" t="s">
        <v>1108</v>
      </c>
      <c r="I331" s="53" t="s">
        <v>1109</v>
      </c>
      <c r="J331" s="26" t="s">
        <v>66</v>
      </c>
      <c r="K331" s="24" t="s">
        <v>1091</v>
      </c>
      <c r="L331" s="27" t="e">
        <f>VLOOKUP(K331,#REF!,2,0)</f>
        <v>#REF!</v>
      </c>
      <c r="M331" s="28" t="e">
        <f>VLOOKUP(L331,#REF!,2,0)</f>
        <v>#REF!</v>
      </c>
      <c r="N331" s="49"/>
      <c r="O331" s="5" t="s">
        <v>53</v>
      </c>
      <c r="P331" s="5" t="s">
        <v>52</v>
      </c>
      <c r="Q331" s="29"/>
      <c r="R331" s="28"/>
      <c r="S331" s="28"/>
    </row>
    <row r="332" ht="29" customHeight="1" spans="1:19">
      <c r="A332" s="20">
        <v>331</v>
      </c>
      <c r="B332" s="48" t="s">
        <v>1110</v>
      </c>
      <c r="C332" s="49" t="s">
        <v>606</v>
      </c>
      <c r="D332" s="49" t="s">
        <v>46</v>
      </c>
      <c r="E332" s="52" t="e">
        <f>VLOOKUP(D332,#REF!,2,0)</f>
        <v>#REF!</v>
      </c>
      <c r="F332" s="50">
        <v>45933</v>
      </c>
      <c r="G332" s="27">
        <v>10</v>
      </c>
      <c r="H332" s="85" t="s">
        <v>1111</v>
      </c>
      <c r="I332" s="53" t="s">
        <v>1112</v>
      </c>
      <c r="J332" s="26" t="s">
        <v>106</v>
      </c>
      <c r="K332" s="24" t="s">
        <v>1113</v>
      </c>
      <c r="L332" s="27" t="e">
        <f>VLOOKUP(K332,#REF!,2,0)</f>
        <v>#REF!</v>
      </c>
      <c r="M332" s="28" t="e">
        <f>VLOOKUP(L332,#REF!,2,0)</f>
        <v>#REF!</v>
      </c>
      <c r="N332" s="49" t="s">
        <v>1114</v>
      </c>
      <c r="O332" s="5" t="s">
        <v>53</v>
      </c>
      <c r="P332" s="5" t="s">
        <v>53</v>
      </c>
      <c r="Q332" s="29"/>
      <c r="R332" s="28"/>
      <c r="S332" s="28"/>
    </row>
    <row r="333" ht="29" customHeight="1" spans="1:19">
      <c r="A333" s="20">
        <v>332</v>
      </c>
      <c r="B333" s="48" t="s">
        <v>1115</v>
      </c>
      <c r="C333" s="49" t="s">
        <v>273</v>
      </c>
      <c r="D333" s="52" t="s">
        <v>274</v>
      </c>
      <c r="E333" s="52" t="e">
        <f>VLOOKUP(D333,#REF!,2,0)</f>
        <v>#REF!</v>
      </c>
      <c r="F333" s="50">
        <v>45934</v>
      </c>
      <c r="G333" s="27">
        <v>10</v>
      </c>
      <c r="H333" s="85" t="s">
        <v>1116</v>
      </c>
      <c r="I333" s="53" t="s">
        <v>1117</v>
      </c>
      <c r="J333" s="26" t="s">
        <v>158</v>
      </c>
      <c r="K333" s="24" t="s">
        <v>1095</v>
      </c>
      <c r="L333" s="27" t="e">
        <f>VLOOKUP(K333,#REF!,2,0)</f>
        <v>#REF!</v>
      </c>
      <c r="M333" s="28" t="e">
        <f>VLOOKUP(L333,#REF!,2,0)</f>
        <v>#REF!</v>
      </c>
      <c r="N333" s="49" t="s">
        <v>1118</v>
      </c>
      <c r="O333" s="5" t="s">
        <v>52</v>
      </c>
      <c r="P333" s="5" t="s">
        <v>52</v>
      </c>
      <c r="Q333" s="29"/>
      <c r="R333" s="28"/>
      <c r="S333" s="28"/>
    </row>
    <row r="334" ht="29" customHeight="1" spans="1:19">
      <c r="A334" s="20">
        <v>333</v>
      </c>
      <c r="B334" s="48" t="s">
        <v>1119</v>
      </c>
      <c r="C334" s="49" t="s">
        <v>606</v>
      </c>
      <c r="D334" s="52" t="s">
        <v>46</v>
      </c>
      <c r="E334" s="52" t="e">
        <f>VLOOKUP(D334,#REF!,2,0)</f>
        <v>#REF!</v>
      </c>
      <c r="F334" s="50">
        <v>45935</v>
      </c>
      <c r="G334" s="27">
        <v>10</v>
      </c>
      <c r="H334" s="85" t="s">
        <v>1120</v>
      </c>
      <c r="I334" s="53" t="s">
        <v>1121</v>
      </c>
      <c r="J334" s="26" t="s">
        <v>66</v>
      </c>
      <c r="K334" s="24" t="s">
        <v>1091</v>
      </c>
      <c r="L334" s="27" t="e">
        <f>VLOOKUP(K334,#REF!,2,0)</f>
        <v>#REF!</v>
      </c>
      <c r="M334" s="28" t="e">
        <f>VLOOKUP(L334,#REF!,2,0)</f>
        <v>#REF!</v>
      </c>
      <c r="N334" s="49" t="s">
        <v>1105</v>
      </c>
      <c r="O334" s="5" t="s">
        <v>53</v>
      </c>
      <c r="P334" s="5" t="s">
        <v>52</v>
      </c>
      <c r="Q334" s="29"/>
      <c r="R334" s="28"/>
      <c r="S334" s="28"/>
    </row>
    <row r="335" ht="29" customHeight="1" spans="1:19">
      <c r="A335" s="20">
        <v>334</v>
      </c>
      <c r="B335" s="48" t="s">
        <v>1122</v>
      </c>
      <c r="C335" s="49" t="s">
        <v>1123</v>
      </c>
      <c r="D335" s="49" t="s">
        <v>46</v>
      </c>
      <c r="E335" s="52" t="e">
        <f>VLOOKUP(D335,#REF!,2,0)</f>
        <v>#REF!</v>
      </c>
      <c r="F335" s="50">
        <v>45936</v>
      </c>
      <c r="G335" s="27">
        <v>10</v>
      </c>
      <c r="H335" s="85" t="s">
        <v>1124</v>
      </c>
      <c r="I335" s="53"/>
      <c r="J335" s="26" t="s">
        <v>106</v>
      </c>
      <c r="K335" s="24" t="s">
        <v>1113</v>
      </c>
      <c r="L335" s="27" t="e">
        <f>VLOOKUP(K335,#REF!,2,0)</f>
        <v>#REF!</v>
      </c>
      <c r="M335" s="28" t="e">
        <f>VLOOKUP(L335,#REF!,2,0)</f>
        <v>#REF!</v>
      </c>
      <c r="N335" s="49"/>
      <c r="O335" s="5" t="s">
        <v>53</v>
      </c>
      <c r="P335" s="5" t="s">
        <v>53</v>
      </c>
      <c r="Q335" s="29"/>
      <c r="R335" s="28"/>
      <c r="S335" s="28"/>
    </row>
    <row r="336" ht="29" customHeight="1" spans="1:19">
      <c r="A336" s="20">
        <v>335</v>
      </c>
      <c r="B336" s="48" t="s">
        <v>1125</v>
      </c>
      <c r="C336" s="49" t="s">
        <v>1107</v>
      </c>
      <c r="D336" s="49" t="s">
        <v>74</v>
      </c>
      <c r="E336" s="52" t="e">
        <f>VLOOKUP(D336,#REF!,2,0)</f>
        <v>#REF!</v>
      </c>
      <c r="F336" s="50">
        <v>45936</v>
      </c>
      <c r="G336" s="27">
        <v>10</v>
      </c>
      <c r="H336" s="85" t="s">
        <v>1126</v>
      </c>
      <c r="I336" s="53" t="s">
        <v>787</v>
      </c>
      <c r="J336" s="26" t="s">
        <v>59</v>
      </c>
      <c r="K336" s="24" t="s">
        <v>1127</v>
      </c>
      <c r="L336" s="27" t="e">
        <f>VLOOKUP(K336,#REF!,2,0)</f>
        <v>#REF!</v>
      </c>
      <c r="M336" s="28" t="e">
        <f>VLOOKUP(L336,#REF!,2,0)</f>
        <v>#REF!</v>
      </c>
      <c r="N336" s="49"/>
      <c r="O336" s="5" t="s">
        <v>52</v>
      </c>
      <c r="P336" s="5" t="s">
        <v>52</v>
      </c>
      <c r="Q336" s="29"/>
      <c r="R336" s="28"/>
      <c r="S336" s="28"/>
    </row>
    <row r="337" ht="29" customHeight="1" spans="1:19">
      <c r="A337" s="20">
        <v>336</v>
      </c>
      <c r="B337" s="48" t="s">
        <v>1128</v>
      </c>
      <c r="C337" s="49" t="s">
        <v>1129</v>
      </c>
      <c r="D337" s="49" t="s">
        <v>74</v>
      </c>
      <c r="E337" s="52" t="s">
        <v>462</v>
      </c>
      <c r="F337" s="50">
        <v>45936</v>
      </c>
      <c r="G337" s="52"/>
      <c r="H337" s="53" t="s">
        <v>1130</v>
      </c>
      <c r="I337" s="53" t="s">
        <v>520</v>
      </c>
      <c r="J337" s="26" t="s">
        <v>59</v>
      </c>
      <c r="K337" s="52" t="s">
        <v>108</v>
      </c>
      <c r="L337" s="27" t="s">
        <v>1131</v>
      </c>
      <c r="M337" s="52" t="s">
        <v>50</v>
      </c>
      <c r="N337" s="52"/>
      <c r="O337" s="5" t="s">
        <v>53</v>
      </c>
      <c r="P337" s="5" t="s">
        <v>52</v>
      </c>
      <c r="Q337" s="87" t="s">
        <v>1132</v>
      </c>
      <c r="R337" s="28"/>
      <c r="S337" s="28"/>
    </row>
    <row r="338" ht="29" customHeight="1" spans="1:19">
      <c r="A338" s="20">
        <v>337</v>
      </c>
      <c r="B338" s="48" t="s">
        <v>1133</v>
      </c>
      <c r="C338" s="49" t="s">
        <v>263</v>
      </c>
      <c r="D338" s="49" t="s">
        <v>63</v>
      </c>
      <c r="E338" s="52" t="e">
        <f>VLOOKUP(D338,#REF!,2,0)</f>
        <v>#REF!</v>
      </c>
      <c r="F338" s="50">
        <v>45939</v>
      </c>
      <c r="G338" s="27">
        <v>10</v>
      </c>
      <c r="H338" s="85" t="s">
        <v>1134</v>
      </c>
      <c r="I338" s="53" t="s">
        <v>1135</v>
      </c>
      <c r="J338" s="26" t="s">
        <v>66</v>
      </c>
      <c r="K338" s="24" t="s">
        <v>1136</v>
      </c>
      <c r="L338" s="27" t="e">
        <f>VLOOKUP(K338,#REF!,2,0)</f>
        <v>#REF!</v>
      </c>
      <c r="M338" s="28" t="e">
        <f>VLOOKUP(L338,#REF!,2,0)</f>
        <v>#REF!</v>
      </c>
      <c r="N338" s="49" t="s">
        <v>1096</v>
      </c>
      <c r="O338" s="5" t="s">
        <v>52</v>
      </c>
      <c r="P338" s="5" t="s">
        <v>52</v>
      </c>
      <c r="Q338" s="29"/>
      <c r="R338" s="28"/>
      <c r="S338" s="28"/>
    </row>
    <row r="339" ht="29" customHeight="1" spans="1:19">
      <c r="A339" s="20">
        <v>338</v>
      </c>
      <c r="B339" s="48" t="s">
        <v>1137</v>
      </c>
      <c r="C339" s="49" t="s">
        <v>193</v>
      </c>
      <c r="D339" s="49" t="s">
        <v>124</v>
      </c>
      <c r="E339" s="52" t="e">
        <f>VLOOKUP(D339,#REF!,2,0)</f>
        <v>#REF!</v>
      </c>
      <c r="F339" s="50">
        <v>45939</v>
      </c>
      <c r="G339" s="27">
        <v>10</v>
      </c>
      <c r="H339" s="85" t="s">
        <v>1138</v>
      </c>
      <c r="I339" s="53" t="s">
        <v>559</v>
      </c>
      <c r="J339" s="26" t="s">
        <v>66</v>
      </c>
      <c r="K339" s="24" t="s">
        <v>1139</v>
      </c>
      <c r="L339" s="27" t="e">
        <f>VLOOKUP(K339,#REF!,2,0)</f>
        <v>#REF!</v>
      </c>
      <c r="M339" s="28" t="e">
        <f>VLOOKUP(L339,#REF!,2,0)</f>
        <v>#REF!</v>
      </c>
      <c r="N339" s="49" t="s">
        <v>1118</v>
      </c>
      <c r="O339" s="5" t="s">
        <v>52</v>
      </c>
      <c r="P339" s="5" t="s">
        <v>52</v>
      </c>
      <c r="Q339" s="29"/>
      <c r="R339" s="28"/>
      <c r="S339" s="28"/>
    </row>
    <row r="340" ht="29" customHeight="1" spans="1:19">
      <c r="A340" s="20">
        <v>339</v>
      </c>
      <c r="B340" s="48" t="s">
        <v>1140</v>
      </c>
      <c r="C340" s="49" t="s">
        <v>315</v>
      </c>
      <c r="D340" s="49" t="s">
        <v>1141</v>
      </c>
      <c r="E340" s="52" t="s">
        <v>539</v>
      </c>
      <c r="F340" s="50">
        <v>45940</v>
      </c>
      <c r="G340" s="27">
        <v>10</v>
      </c>
      <c r="H340" s="53" t="s">
        <v>1142</v>
      </c>
      <c r="I340" s="53" t="s">
        <v>1143</v>
      </c>
      <c r="J340" s="26" t="s">
        <v>158</v>
      </c>
      <c r="K340" s="28" t="s">
        <v>1095</v>
      </c>
      <c r="L340" s="27" t="s">
        <v>60</v>
      </c>
      <c r="M340" s="28" t="s">
        <v>50</v>
      </c>
      <c r="N340" s="52">
        <v>10000</v>
      </c>
      <c r="O340" s="5" t="s">
        <v>52</v>
      </c>
      <c r="P340" s="5" t="s">
        <v>52</v>
      </c>
      <c r="Q340" s="87" t="s">
        <v>1144</v>
      </c>
      <c r="R340" s="28"/>
      <c r="S340" s="28"/>
    </row>
    <row r="341" ht="29" customHeight="1" spans="1:19">
      <c r="A341" s="20">
        <v>340</v>
      </c>
      <c r="B341" s="48" t="s">
        <v>1145</v>
      </c>
      <c r="C341" s="49" t="s">
        <v>619</v>
      </c>
      <c r="D341" s="49" t="s">
        <v>416</v>
      </c>
      <c r="E341" s="52" t="e">
        <f>VLOOKUP(D341,#REF!,2,0)</f>
        <v>#REF!</v>
      </c>
      <c r="F341" s="50">
        <v>45941</v>
      </c>
      <c r="G341" s="27">
        <v>10</v>
      </c>
      <c r="H341" s="85" t="s">
        <v>1146</v>
      </c>
      <c r="I341" s="53" t="s">
        <v>1147</v>
      </c>
      <c r="J341" s="26" t="s">
        <v>106</v>
      </c>
      <c r="K341" s="24" t="s">
        <v>1113</v>
      </c>
      <c r="L341" s="27" t="e">
        <f>VLOOKUP(K341,#REF!,2,0)</f>
        <v>#REF!</v>
      </c>
      <c r="M341" s="28" t="e">
        <f>VLOOKUP(L341,#REF!,2,0)</f>
        <v>#REF!</v>
      </c>
      <c r="N341" s="49" t="s">
        <v>1148</v>
      </c>
      <c r="O341" s="5" t="s">
        <v>53</v>
      </c>
      <c r="P341" s="5" t="s">
        <v>53</v>
      </c>
      <c r="Q341" s="29"/>
      <c r="R341" s="28"/>
      <c r="S341" s="28"/>
    </row>
    <row r="342" ht="29" customHeight="1" spans="1:19">
      <c r="A342" s="20">
        <v>341</v>
      </c>
      <c r="B342" s="48" t="s">
        <v>1149</v>
      </c>
      <c r="C342" s="49" t="s">
        <v>1150</v>
      </c>
      <c r="D342" s="49" t="s">
        <v>1151</v>
      </c>
      <c r="E342" s="52" t="e">
        <f>VLOOKUP(D342,#REF!,2,0)</f>
        <v>#REF!</v>
      </c>
      <c r="F342" s="50">
        <v>45941</v>
      </c>
      <c r="G342" s="27">
        <v>10</v>
      </c>
      <c r="H342" s="85" t="s">
        <v>1152</v>
      </c>
      <c r="I342" s="53" t="s">
        <v>1153</v>
      </c>
      <c r="J342" s="26" t="s">
        <v>325</v>
      </c>
      <c r="K342" s="24" t="s">
        <v>1100</v>
      </c>
      <c r="L342" s="27" t="e">
        <f>VLOOKUP(K342,#REF!,2,0)</f>
        <v>#REF!</v>
      </c>
      <c r="M342" s="28" t="e">
        <f>VLOOKUP(L342,#REF!,2,0)</f>
        <v>#REF!</v>
      </c>
      <c r="N342" s="49" t="s">
        <v>1148</v>
      </c>
      <c r="O342" s="5" t="s">
        <v>53</v>
      </c>
      <c r="P342" s="5" t="s">
        <v>53</v>
      </c>
      <c r="Q342" s="29"/>
      <c r="R342" s="28"/>
      <c r="S342" s="28"/>
    </row>
    <row r="343" ht="29" customHeight="1" spans="1:19">
      <c r="A343" s="20">
        <v>342</v>
      </c>
      <c r="B343" s="48" t="s">
        <v>1154</v>
      </c>
      <c r="C343" s="49" t="s">
        <v>886</v>
      </c>
      <c r="D343" s="49" t="s">
        <v>115</v>
      </c>
      <c r="E343" s="52" t="e">
        <f>VLOOKUP(D343,#REF!,2,0)</f>
        <v>#REF!</v>
      </c>
      <c r="F343" s="50">
        <v>45942</v>
      </c>
      <c r="G343" s="27">
        <v>10</v>
      </c>
      <c r="H343" s="85" t="s">
        <v>1155</v>
      </c>
      <c r="I343" s="53" t="s">
        <v>608</v>
      </c>
      <c r="J343" s="26" t="s">
        <v>59</v>
      </c>
      <c r="K343" s="24" t="s">
        <v>1156</v>
      </c>
      <c r="L343" s="27" t="e">
        <f>VLOOKUP(K343,#REF!,2,0)</f>
        <v>#REF!</v>
      </c>
      <c r="M343" s="28" t="e">
        <f>VLOOKUP(L343,#REF!,2,0)</f>
        <v>#REF!</v>
      </c>
      <c r="N343" s="49" t="s">
        <v>1157</v>
      </c>
      <c r="O343" s="5" t="s">
        <v>52</v>
      </c>
      <c r="P343" s="5" t="s">
        <v>52</v>
      </c>
      <c r="Q343" s="29"/>
      <c r="R343" s="28"/>
      <c r="S343" s="28"/>
    </row>
    <row r="344" ht="29" customHeight="1" spans="1:19">
      <c r="A344" s="20">
        <v>343</v>
      </c>
      <c r="B344" s="48" t="s">
        <v>1158</v>
      </c>
      <c r="C344" s="49" t="s">
        <v>1051</v>
      </c>
      <c r="D344" s="49" t="s">
        <v>416</v>
      </c>
      <c r="E344" s="52" t="e">
        <f>VLOOKUP(D344,#REF!,2,0)</f>
        <v>#REF!</v>
      </c>
      <c r="F344" s="50">
        <v>45943</v>
      </c>
      <c r="G344" s="27">
        <v>10</v>
      </c>
      <c r="H344" s="85" t="s">
        <v>1159</v>
      </c>
      <c r="I344" s="53" t="s">
        <v>741</v>
      </c>
      <c r="J344" s="26" t="s">
        <v>106</v>
      </c>
      <c r="K344" s="24" t="s">
        <v>1113</v>
      </c>
      <c r="L344" s="27" t="e">
        <f>VLOOKUP(K344,#REF!,2,0)</f>
        <v>#REF!</v>
      </c>
      <c r="M344" s="28" t="e">
        <f>VLOOKUP(L344,#REF!,2,0)</f>
        <v>#REF!</v>
      </c>
      <c r="N344" s="49" t="s">
        <v>1114</v>
      </c>
      <c r="O344" s="5" t="s">
        <v>53</v>
      </c>
      <c r="P344" s="5" t="s">
        <v>53</v>
      </c>
      <c r="Q344" s="29"/>
      <c r="R344" s="28"/>
      <c r="S344" s="28"/>
    </row>
    <row r="345" ht="29" customHeight="1" spans="1:19">
      <c r="A345" s="20">
        <v>344</v>
      </c>
      <c r="B345" s="48" t="s">
        <v>1160</v>
      </c>
      <c r="C345" s="49" t="s">
        <v>486</v>
      </c>
      <c r="D345" s="49" t="s">
        <v>237</v>
      </c>
      <c r="E345" s="52" t="e">
        <f>VLOOKUP(D345,#REF!,2,0)</f>
        <v>#REF!</v>
      </c>
      <c r="F345" s="50">
        <v>45943</v>
      </c>
      <c r="G345" s="27">
        <v>10</v>
      </c>
      <c r="H345" s="85" t="s">
        <v>1161</v>
      </c>
      <c r="I345" s="53" t="s">
        <v>741</v>
      </c>
      <c r="J345" s="26" t="s">
        <v>77</v>
      </c>
      <c r="K345" s="24" t="s">
        <v>1162</v>
      </c>
      <c r="L345" s="27" t="e">
        <f>VLOOKUP(K345,#REF!,2,0)</f>
        <v>#REF!</v>
      </c>
      <c r="M345" s="28" t="e">
        <f>VLOOKUP(L345,#REF!,2,0)</f>
        <v>#REF!</v>
      </c>
      <c r="N345" s="49" t="s">
        <v>1105</v>
      </c>
      <c r="O345" s="5" t="s">
        <v>52</v>
      </c>
      <c r="P345" s="5" t="s">
        <v>52</v>
      </c>
      <c r="Q345" s="29"/>
      <c r="R345" s="28"/>
      <c r="S345" s="28"/>
    </row>
    <row r="346" ht="29" customHeight="1" spans="1:19">
      <c r="A346" s="20">
        <v>345</v>
      </c>
      <c r="B346" s="48" t="s">
        <v>1163</v>
      </c>
      <c r="C346" s="49" t="s">
        <v>160</v>
      </c>
      <c r="D346" s="49" t="s">
        <v>103</v>
      </c>
      <c r="E346" s="52" t="e">
        <f>VLOOKUP(D346,#REF!,2,0)</f>
        <v>#REF!</v>
      </c>
      <c r="F346" s="50">
        <v>45944</v>
      </c>
      <c r="G346" s="27">
        <v>10</v>
      </c>
      <c r="H346" s="85" t="s">
        <v>1164</v>
      </c>
      <c r="I346" s="53" t="s">
        <v>1165</v>
      </c>
      <c r="J346" s="26" t="s">
        <v>234</v>
      </c>
      <c r="K346" s="88" t="s">
        <v>1166</v>
      </c>
      <c r="L346" s="27" t="e">
        <f>VLOOKUP(K346,#REF!,2,0)</f>
        <v>#REF!</v>
      </c>
      <c r="M346" s="28" t="e">
        <f>VLOOKUP(L346,#REF!,2,0)</f>
        <v>#REF!</v>
      </c>
      <c r="N346" s="49" t="s">
        <v>1087</v>
      </c>
      <c r="O346" s="5" t="s">
        <v>53</v>
      </c>
      <c r="P346" s="5" t="s">
        <v>52</v>
      </c>
      <c r="Q346" s="29"/>
      <c r="R346" s="28"/>
      <c r="S346" s="28"/>
    </row>
    <row r="347" ht="29" customHeight="1" spans="1:19">
      <c r="A347" s="20">
        <v>346</v>
      </c>
      <c r="B347" s="48" t="s">
        <v>1167</v>
      </c>
      <c r="C347" s="49" t="s">
        <v>273</v>
      </c>
      <c r="D347" s="49" t="s">
        <v>274</v>
      </c>
      <c r="E347" s="52" t="s">
        <v>539</v>
      </c>
      <c r="F347" s="50">
        <v>45945</v>
      </c>
      <c r="G347" s="27">
        <v>10</v>
      </c>
      <c r="H347" s="85" t="s">
        <v>1168</v>
      </c>
      <c r="I347" s="53" t="s">
        <v>537</v>
      </c>
      <c r="J347" s="26" t="s">
        <v>49</v>
      </c>
      <c r="K347" s="88" t="s">
        <v>1169</v>
      </c>
      <c r="L347" s="27" t="e">
        <f>VLOOKUP(K347,#REF!,2,0)</f>
        <v>#REF!</v>
      </c>
      <c r="M347" s="28" t="e">
        <f>VLOOKUP(L347,#REF!,2,0)</f>
        <v>#REF!</v>
      </c>
      <c r="N347" s="49" t="s">
        <v>1148</v>
      </c>
      <c r="O347" s="5" t="s">
        <v>53</v>
      </c>
      <c r="P347" s="5" t="s">
        <v>52</v>
      </c>
      <c r="Q347" s="29"/>
      <c r="R347" s="28"/>
      <c r="S347" s="28"/>
    </row>
    <row r="348" ht="29" customHeight="1" spans="1:19">
      <c r="A348" s="20">
        <v>347</v>
      </c>
      <c r="B348" s="48" t="s">
        <v>1170</v>
      </c>
      <c r="C348" s="49" t="s">
        <v>387</v>
      </c>
      <c r="D348" s="49" t="s">
        <v>90</v>
      </c>
      <c r="E348" s="52" t="e">
        <f>VLOOKUP(D348,#REF!,2,0)</f>
        <v>#REF!</v>
      </c>
      <c r="F348" s="50">
        <v>45945</v>
      </c>
      <c r="G348" s="27">
        <v>10</v>
      </c>
      <c r="H348" s="85" t="s">
        <v>1171</v>
      </c>
      <c r="I348" s="53" t="s">
        <v>1172</v>
      </c>
      <c r="J348" s="26" t="s">
        <v>127</v>
      </c>
      <c r="K348" s="24" t="s">
        <v>1173</v>
      </c>
      <c r="L348" s="27" t="e">
        <f>VLOOKUP(K348,#REF!,2,0)</f>
        <v>#REF!</v>
      </c>
      <c r="M348" s="28" t="e">
        <f>VLOOKUP(L348,#REF!,2,0)</f>
        <v>#REF!</v>
      </c>
      <c r="N348" s="49" t="s">
        <v>1174</v>
      </c>
      <c r="O348" s="5" t="s">
        <v>52</v>
      </c>
      <c r="P348" s="5" t="s">
        <v>52</v>
      </c>
      <c r="Q348" s="29"/>
      <c r="R348" s="28"/>
      <c r="S348" s="28"/>
    </row>
    <row r="349" ht="29" customHeight="1" spans="1:19">
      <c r="A349" s="20">
        <v>348</v>
      </c>
      <c r="B349" s="48" t="s">
        <v>1175</v>
      </c>
      <c r="C349" s="49" t="s">
        <v>45</v>
      </c>
      <c r="D349" s="49" t="s">
        <v>46</v>
      </c>
      <c r="E349" s="52" t="e">
        <f>VLOOKUP(D349,#REF!,2,0)</f>
        <v>#REF!</v>
      </c>
      <c r="F349" s="50">
        <v>45945</v>
      </c>
      <c r="G349" s="27">
        <v>10</v>
      </c>
      <c r="H349" s="85" t="s">
        <v>1176</v>
      </c>
      <c r="I349" s="53" t="s">
        <v>1177</v>
      </c>
      <c r="J349" s="26" t="s">
        <v>158</v>
      </c>
      <c r="K349" s="24" t="s">
        <v>1178</v>
      </c>
      <c r="L349" s="27" t="e">
        <f>VLOOKUP(K349,#REF!,2,0)</f>
        <v>#REF!</v>
      </c>
      <c r="M349" s="28" t="e">
        <f>VLOOKUP(L349,#REF!,2,0)</f>
        <v>#REF!</v>
      </c>
      <c r="N349" s="49" t="s">
        <v>1174</v>
      </c>
      <c r="O349" s="5" t="s">
        <v>53</v>
      </c>
      <c r="P349" s="5" t="s">
        <v>52</v>
      </c>
      <c r="Q349" s="29"/>
      <c r="R349" s="28"/>
      <c r="S349" s="28"/>
    </row>
    <row r="350" ht="29" customHeight="1" spans="1:19">
      <c r="A350" s="20">
        <v>349</v>
      </c>
      <c r="B350" s="48" t="s">
        <v>1179</v>
      </c>
      <c r="C350" s="49" t="s">
        <v>302</v>
      </c>
      <c r="D350" s="49" t="s">
        <v>124</v>
      </c>
      <c r="E350" s="52" t="e">
        <f>VLOOKUP(D350,#REF!,2,0)</f>
        <v>#REF!</v>
      </c>
      <c r="F350" s="50">
        <v>45946</v>
      </c>
      <c r="G350" s="27">
        <v>10</v>
      </c>
      <c r="H350" s="85" t="s">
        <v>1180</v>
      </c>
      <c r="I350" s="53" t="s">
        <v>669</v>
      </c>
      <c r="J350" s="26" t="s">
        <v>127</v>
      </c>
      <c r="K350" s="24" t="s">
        <v>1181</v>
      </c>
      <c r="L350" s="27" t="e">
        <f>VLOOKUP(K350,#REF!,2,0)</f>
        <v>#REF!</v>
      </c>
      <c r="M350" s="28" t="e">
        <f>VLOOKUP(L350,#REF!,2,0)</f>
        <v>#REF!</v>
      </c>
      <c r="N350" s="49" t="s">
        <v>1182</v>
      </c>
      <c r="O350" s="5" t="s">
        <v>53</v>
      </c>
      <c r="P350" s="5" t="s">
        <v>52</v>
      </c>
      <c r="Q350" s="29"/>
      <c r="R350" s="28"/>
      <c r="S350" s="28"/>
    </row>
    <row r="351" ht="29" customHeight="1" spans="1:19">
      <c r="A351" s="20">
        <v>350</v>
      </c>
      <c r="B351" s="48" t="s">
        <v>1183</v>
      </c>
      <c r="C351" s="49" t="s">
        <v>45</v>
      </c>
      <c r="D351" s="49" t="s">
        <v>46</v>
      </c>
      <c r="E351" s="52" t="e">
        <f>VLOOKUP(D351,#REF!,2,0)</f>
        <v>#REF!</v>
      </c>
      <c r="F351" s="50">
        <v>45946</v>
      </c>
      <c r="G351" s="27">
        <v>10</v>
      </c>
      <c r="H351" s="85" t="s">
        <v>1184</v>
      </c>
      <c r="I351" s="53" t="s">
        <v>1177</v>
      </c>
      <c r="J351" s="26" t="s">
        <v>106</v>
      </c>
      <c r="K351" s="24" t="s">
        <v>1113</v>
      </c>
      <c r="L351" s="27" t="e">
        <f>VLOOKUP(K351,#REF!,2,0)</f>
        <v>#REF!</v>
      </c>
      <c r="M351" s="28" t="e">
        <f>VLOOKUP(L351,#REF!,2,0)</f>
        <v>#REF!</v>
      </c>
      <c r="N351" s="49" t="s">
        <v>1114</v>
      </c>
      <c r="O351" s="5" t="s">
        <v>53</v>
      </c>
      <c r="P351" s="5" t="s">
        <v>53</v>
      </c>
      <c r="Q351" s="29"/>
      <c r="R351" s="28"/>
      <c r="S351" s="28"/>
    </row>
    <row r="352" ht="29" customHeight="1" spans="1:19">
      <c r="A352" s="20">
        <v>351</v>
      </c>
      <c r="B352" s="48" t="s">
        <v>1185</v>
      </c>
      <c r="C352" s="49" t="s">
        <v>68</v>
      </c>
      <c r="D352" s="49" t="s">
        <v>69</v>
      </c>
      <c r="E352" s="52" t="e">
        <f>VLOOKUP(D352,#REF!,2,0)</f>
        <v>#REF!</v>
      </c>
      <c r="F352" s="50">
        <v>45947</v>
      </c>
      <c r="G352" s="27">
        <v>10</v>
      </c>
      <c r="H352" s="85" t="s">
        <v>1186</v>
      </c>
      <c r="I352" s="53" t="s">
        <v>1187</v>
      </c>
      <c r="J352" s="26" t="s">
        <v>170</v>
      </c>
      <c r="K352" s="24" t="s">
        <v>1086</v>
      </c>
      <c r="L352" s="27" t="e">
        <f>VLOOKUP(K352,#REF!,2,0)</f>
        <v>#REF!</v>
      </c>
      <c r="M352" s="28" t="e">
        <f>VLOOKUP(L352,#REF!,2,0)</f>
        <v>#REF!</v>
      </c>
      <c r="N352" s="49" t="s">
        <v>1188</v>
      </c>
      <c r="O352" s="5" t="s">
        <v>53</v>
      </c>
      <c r="P352" s="5" t="s">
        <v>53</v>
      </c>
      <c r="Q352" s="29"/>
      <c r="R352" s="28"/>
      <c r="S352" s="28"/>
    </row>
    <row r="353" ht="29" customHeight="1" spans="1:19">
      <c r="A353" s="20">
        <v>352</v>
      </c>
      <c r="B353" s="48" t="s">
        <v>1189</v>
      </c>
      <c r="C353" s="49" t="s">
        <v>89</v>
      </c>
      <c r="D353" s="49" t="s">
        <v>90</v>
      </c>
      <c r="E353" s="52" t="e">
        <f>VLOOKUP(D353,#REF!,2,0)</f>
        <v>#REF!</v>
      </c>
      <c r="F353" s="50">
        <v>45947</v>
      </c>
      <c r="G353" s="27">
        <v>10</v>
      </c>
      <c r="H353" s="85" t="s">
        <v>1190</v>
      </c>
      <c r="I353" s="53" t="s">
        <v>1191</v>
      </c>
      <c r="J353" s="26" t="s">
        <v>1192</v>
      </c>
      <c r="K353" s="88" t="s">
        <v>1193</v>
      </c>
      <c r="L353" s="27" t="e">
        <f>VLOOKUP(K353,#REF!,2,0)</f>
        <v>#REF!</v>
      </c>
      <c r="M353" s="28" t="e">
        <f>VLOOKUP(L353,#REF!,2,0)</f>
        <v>#REF!</v>
      </c>
      <c r="N353" s="49" t="s">
        <v>1194</v>
      </c>
      <c r="O353" s="5" t="s">
        <v>53</v>
      </c>
      <c r="P353" s="5" t="s">
        <v>53</v>
      </c>
      <c r="Q353" s="29"/>
      <c r="R353" s="28"/>
      <c r="S353" s="28"/>
    </row>
    <row r="354" ht="29" customHeight="1" spans="1:19">
      <c r="A354" s="20">
        <v>353</v>
      </c>
      <c r="B354" s="48" t="s">
        <v>1195</v>
      </c>
      <c r="C354" s="49" t="s">
        <v>110</v>
      </c>
      <c r="D354" s="49" t="s">
        <v>80</v>
      </c>
      <c r="E354" s="52" t="e">
        <f>VLOOKUP(D354,#REF!,2,0)</f>
        <v>#REF!</v>
      </c>
      <c r="F354" s="50">
        <v>45947</v>
      </c>
      <c r="G354" s="27">
        <v>10</v>
      </c>
      <c r="H354" s="85" t="s">
        <v>1196</v>
      </c>
      <c r="I354" s="53" t="s">
        <v>1197</v>
      </c>
      <c r="J354" s="26" t="s">
        <v>66</v>
      </c>
      <c r="K354" s="24" t="s">
        <v>1091</v>
      </c>
      <c r="L354" s="27" t="e">
        <f>VLOOKUP(K354,#REF!,2,0)</f>
        <v>#REF!</v>
      </c>
      <c r="M354" s="28" t="e">
        <f>VLOOKUP(L354,#REF!,2,0)</f>
        <v>#REF!</v>
      </c>
      <c r="N354" s="49" t="s">
        <v>1174</v>
      </c>
      <c r="O354" s="5" t="s">
        <v>53</v>
      </c>
      <c r="P354" s="5" t="s">
        <v>52</v>
      </c>
      <c r="Q354" s="29"/>
      <c r="R354" s="28"/>
      <c r="S354" s="28"/>
    </row>
    <row r="355" ht="29" customHeight="1" spans="1:19">
      <c r="A355" s="20">
        <v>354</v>
      </c>
      <c r="B355" s="48" t="s">
        <v>1198</v>
      </c>
      <c r="C355" s="49" t="s">
        <v>182</v>
      </c>
      <c r="D355" s="49" t="s">
        <v>183</v>
      </c>
      <c r="E355" s="52" t="e">
        <f>VLOOKUP(D355,#REF!,2,0)</f>
        <v>#REF!</v>
      </c>
      <c r="F355" s="50">
        <v>45947</v>
      </c>
      <c r="G355" s="27">
        <v>10</v>
      </c>
      <c r="H355" s="85" t="s">
        <v>1199</v>
      </c>
      <c r="I355" s="53" t="s">
        <v>787</v>
      </c>
      <c r="J355" s="26" t="s">
        <v>59</v>
      </c>
      <c r="K355" s="24" t="s">
        <v>1200</v>
      </c>
      <c r="L355" s="27" t="e">
        <f>VLOOKUP(K355,#REF!,2,0)</f>
        <v>#REF!</v>
      </c>
      <c r="M355" s="28" t="e">
        <f>VLOOKUP(L355,#REF!,2,0)</f>
        <v>#REF!</v>
      </c>
      <c r="N355" s="49" t="s">
        <v>1174</v>
      </c>
      <c r="O355" s="5" t="s">
        <v>52</v>
      </c>
      <c r="P355" s="5" t="s">
        <v>52</v>
      </c>
      <c r="Q355" s="29"/>
      <c r="R355" s="28"/>
      <c r="S355" s="28"/>
    </row>
    <row r="356" ht="29" customHeight="1" spans="1:19">
      <c r="A356" s="20">
        <v>355</v>
      </c>
      <c r="B356" s="48" t="s">
        <v>1201</v>
      </c>
      <c r="C356" s="49" t="s">
        <v>469</v>
      </c>
      <c r="D356" s="49" t="s">
        <v>237</v>
      </c>
      <c r="E356" s="52" t="e">
        <f>VLOOKUP(D356,#REF!,2,0)</f>
        <v>#REF!</v>
      </c>
      <c r="F356" s="50">
        <v>45948</v>
      </c>
      <c r="G356" s="27">
        <v>10</v>
      </c>
      <c r="H356" s="85" t="s">
        <v>1202</v>
      </c>
      <c r="I356" s="53" t="s">
        <v>1203</v>
      </c>
      <c r="J356" s="26" t="s">
        <v>106</v>
      </c>
      <c r="K356" s="24" t="s">
        <v>1113</v>
      </c>
      <c r="L356" s="27" t="e">
        <f>VLOOKUP(K356,#REF!,2,0)</f>
        <v>#REF!</v>
      </c>
      <c r="M356" s="28" t="e">
        <f>VLOOKUP(L356,#REF!,2,0)</f>
        <v>#REF!</v>
      </c>
      <c r="N356" s="49" t="s">
        <v>1096</v>
      </c>
      <c r="O356" s="5" t="s">
        <v>53</v>
      </c>
      <c r="P356" s="5" t="s">
        <v>53</v>
      </c>
      <c r="Q356" s="29"/>
      <c r="R356" s="28"/>
      <c r="S356" s="28"/>
    </row>
    <row r="357" ht="29" customHeight="1" spans="1:19">
      <c r="A357" s="20">
        <v>356</v>
      </c>
      <c r="B357" s="48" t="s">
        <v>1204</v>
      </c>
      <c r="C357" s="49" t="s">
        <v>263</v>
      </c>
      <c r="D357" s="49" t="s">
        <v>63</v>
      </c>
      <c r="E357" s="52" t="e">
        <f>VLOOKUP(D357,#REF!,2,0)</f>
        <v>#REF!</v>
      </c>
      <c r="F357" s="50">
        <v>45949</v>
      </c>
      <c r="G357" s="27">
        <v>10</v>
      </c>
      <c r="H357" s="85" t="s">
        <v>1205</v>
      </c>
      <c r="I357" s="53" t="s">
        <v>787</v>
      </c>
      <c r="J357" s="26" t="s">
        <v>49</v>
      </c>
      <c r="K357" s="24" t="s">
        <v>1206</v>
      </c>
      <c r="L357" s="27" t="e">
        <f>VLOOKUP(K357,#REF!,2,0)</f>
        <v>#REF!</v>
      </c>
      <c r="M357" s="28" t="e">
        <f>VLOOKUP(L357,#REF!,2,0)</f>
        <v>#REF!</v>
      </c>
      <c r="N357" s="49" t="s">
        <v>1207</v>
      </c>
      <c r="O357" s="5" t="s">
        <v>52</v>
      </c>
      <c r="P357" s="5" t="s">
        <v>52</v>
      </c>
      <c r="Q357" s="29"/>
      <c r="R357" s="28"/>
      <c r="S357" s="28"/>
    </row>
    <row r="358" ht="29" customHeight="1" spans="1:19">
      <c r="A358" s="20">
        <v>357</v>
      </c>
      <c r="B358" s="48" t="s">
        <v>1208</v>
      </c>
      <c r="C358" s="49" t="s">
        <v>387</v>
      </c>
      <c r="D358" s="49" t="s">
        <v>90</v>
      </c>
      <c r="E358" s="52" t="e">
        <f>VLOOKUP(D358,#REF!,2,0)</f>
        <v>#REF!</v>
      </c>
      <c r="F358" s="50">
        <v>45950</v>
      </c>
      <c r="G358" s="27">
        <v>10</v>
      </c>
      <c r="H358" s="85" t="s">
        <v>1209</v>
      </c>
      <c r="I358" s="53" t="s">
        <v>1210</v>
      </c>
      <c r="J358" s="26" t="s">
        <v>325</v>
      </c>
      <c r="K358" s="24" t="s">
        <v>1100</v>
      </c>
      <c r="L358" s="27" t="e">
        <f>VLOOKUP(K358,#REF!,2,0)</f>
        <v>#REF!</v>
      </c>
      <c r="M358" s="28" t="e">
        <f>VLOOKUP(L358,#REF!,2,0)</f>
        <v>#REF!</v>
      </c>
      <c r="N358" s="49" t="s">
        <v>1211</v>
      </c>
      <c r="O358" s="5" t="s">
        <v>53</v>
      </c>
      <c r="P358" s="5" t="s">
        <v>53</v>
      </c>
      <c r="Q358" s="29"/>
      <c r="R358" s="28"/>
      <c r="S358" s="28"/>
    </row>
    <row r="359" ht="29" customHeight="1" spans="1:19">
      <c r="A359" s="20">
        <v>358</v>
      </c>
      <c r="B359" s="48" t="s">
        <v>1212</v>
      </c>
      <c r="C359" s="49" t="s">
        <v>123</v>
      </c>
      <c r="D359" s="49" t="s">
        <v>124</v>
      </c>
      <c r="E359" s="52" t="e">
        <f>VLOOKUP(D359,#REF!,2,0)</f>
        <v>#REF!</v>
      </c>
      <c r="F359" s="50">
        <v>45951</v>
      </c>
      <c r="G359" s="27">
        <v>10</v>
      </c>
      <c r="H359" s="85" t="s">
        <v>1213</v>
      </c>
      <c r="I359" s="53" t="s">
        <v>537</v>
      </c>
      <c r="J359" s="26" t="s">
        <v>59</v>
      </c>
      <c r="K359" s="24" t="s">
        <v>1127</v>
      </c>
      <c r="L359" s="27" t="e">
        <f>VLOOKUP(K359,#REF!,2,0)</f>
        <v>#REF!</v>
      </c>
      <c r="M359" s="28" t="e">
        <f>VLOOKUP(L359,#REF!,2,0)</f>
        <v>#REF!</v>
      </c>
      <c r="N359" s="49" t="s">
        <v>1118</v>
      </c>
      <c r="O359" s="5" t="s">
        <v>52</v>
      </c>
      <c r="P359" s="5" t="s">
        <v>52</v>
      </c>
      <c r="Q359" s="29"/>
      <c r="R359" s="28"/>
      <c r="S359" s="28"/>
    </row>
    <row r="360" ht="29" customHeight="1" spans="1:19">
      <c r="A360" s="20">
        <v>359</v>
      </c>
      <c r="B360" s="48" t="s">
        <v>1214</v>
      </c>
      <c r="C360" s="49" t="s">
        <v>119</v>
      </c>
      <c r="D360" s="76" t="s">
        <v>69</v>
      </c>
      <c r="E360" s="52" t="e">
        <f>VLOOKUP(D360,#REF!,2,0)</f>
        <v>#REF!</v>
      </c>
      <c r="F360" s="50">
        <v>45952</v>
      </c>
      <c r="G360" s="27">
        <v>10</v>
      </c>
      <c r="H360" s="85" t="s">
        <v>1215</v>
      </c>
      <c r="I360" s="53" t="s">
        <v>1216</v>
      </c>
      <c r="J360" s="26" t="s">
        <v>106</v>
      </c>
      <c r="K360" s="24" t="s">
        <v>1113</v>
      </c>
      <c r="L360" s="27" t="e">
        <f>VLOOKUP(K360,#REF!,2,0)</f>
        <v>#REF!</v>
      </c>
      <c r="M360" s="28" t="e">
        <f>VLOOKUP(L360,#REF!,2,0)</f>
        <v>#REF!</v>
      </c>
      <c r="N360" s="49" t="s">
        <v>1096</v>
      </c>
      <c r="O360" s="5" t="s">
        <v>53</v>
      </c>
      <c r="P360" s="5" t="s">
        <v>53</v>
      </c>
      <c r="Q360" s="81"/>
      <c r="R360" s="28"/>
      <c r="S360" s="28"/>
    </row>
    <row r="361" ht="29" customHeight="1" spans="1:19">
      <c r="A361" s="20">
        <v>360</v>
      </c>
      <c r="B361" s="48" t="s">
        <v>1217</v>
      </c>
      <c r="C361" s="49" t="s">
        <v>955</v>
      </c>
      <c r="D361" s="49" t="s">
        <v>237</v>
      </c>
      <c r="E361" s="52" t="e">
        <f>VLOOKUP(D361,#REF!,2,0)</f>
        <v>#REF!</v>
      </c>
      <c r="F361" s="50">
        <v>45954</v>
      </c>
      <c r="G361" s="27">
        <v>10</v>
      </c>
      <c r="H361" s="85" t="s">
        <v>1218</v>
      </c>
      <c r="I361" s="53" t="s">
        <v>1219</v>
      </c>
      <c r="J361" s="26" t="s">
        <v>66</v>
      </c>
      <c r="K361" s="24" t="s">
        <v>1091</v>
      </c>
      <c r="L361" s="27" t="e">
        <f>VLOOKUP(K361,#REF!,2,0)</f>
        <v>#REF!</v>
      </c>
      <c r="M361" s="28" t="e">
        <f>VLOOKUP(L361,#REF!,2,0)</f>
        <v>#REF!</v>
      </c>
      <c r="N361" s="49" t="s">
        <v>1174</v>
      </c>
      <c r="O361" s="5" t="s">
        <v>53</v>
      </c>
      <c r="P361" s="5" t="s">
        <v>52</v>
      </c>
      <c r="Q361" s="29"/>
      <c r="R361" s="28"/>
      <c r="S361" s="28"/>
    </row>
    <row r="362" ht="29" customHeight="1" spans="1:19">
      <c r="A362" s="20">
        <v>361</v>
      </c>
      <c r="B362" s="48" t="s">
        <v>1220</v>
      </c>
      <c r="C362" s="49" t="s">
        <v>55</v>
      </c>
      <c r="D362" s="49" t="s">
        <v>56</v>
      </c>
      <c r="E362" s="52" t="e">
        <f>VLOOKUP(D362,#REF!,2,0)</f>
        <v>#REF!</v>
      </c>
      <c r="F362" s="50">
        <v>45954</v>
      </c>
      <c r="G362" s="27">
        <v>10</v>
      </c>
      <c r="H362" s="85" t="s">
        <v>1221</v>
      </c>
      <c r="I362" s="53" t="s">
        <v>1222</v>
      </c>
      <c r="J362" s="26" t="s">
        <v>170</v>
      </c>
      <c r="K362" s="24" t="s">
        <v>1086</v>
      </c>
      <c r="L362" s="27" t="e">
        <f>VLOOKUP(K362,#REF!,2,0)</f>
        <v>#REF!</v>
      </c>
      <c r="M362" s="28" t="e">
        <f>VLOOKUP(L362,#REF!,2,0)</f>
        <v>#REF!</v>
      </c>
      <c r="N362" s="49" t="s">
        <v>1182</v>
      </c>
      <c r="O362" s="5" t="s">
        <v>53</v>
      </c>
      <c r="P362" s="5" t="s">
        <v>53</v>
      </c>
      <c r="Q362" s="29"/>
      <c r="R362" s="28"/>
      <c r="S362" s="28"/>
    </row>
    <row r="363" ht="29" customHeight="1" spans="1:19">
      <c r="A363" s="20">
        <v>362</v>
      </c>
      <c r="B363" s="48" t="s">
        <v>1223</v>
      </c>
      <c r="C363" s="49" t="s">
        <v>979</v>
      </c>
      <c r="D363" s="49" t="s">
        <v>115</v>
      </c>
      <c r="E363" s="52" t="e">
        <f>VLOOKUP(D363,#REF!,2,0)</f>
        <v>#REF!</v>
      </c>
      <c r="F363" s="50">
        <v>45956</v>
      </c>
      <c r="G363" s="27">
        <v>10</v>
      </c>
      <c r="H363" s="89" t="s">
        <v>1224</v>
      </c>
      <c r="I363" s="53" t="s">
        <v>1225</v>
      </c>
      <c r="J363" s="26" t="s">
        <v>325</v>
      </c>
      <c r="K363" s="24" t="s">
        <v>1100</v>
      </c>
      <c r="L363" s="27" t="e">
        <f>VLOOKUP(K363,#REF!,2,0)</f>
        <v>#REF!</v>
      </c>
      <c r="M363" s="28" t="e">
        <f>VLOOKUP(L363,#REF!,2,0)</f>
        <v>#REF!</v>
      </c>
      <c r="N363" s="49"/>
      <c r="O363" s="5" t="s">
        <v>53</v>
      </c>
      <c r="P363" s="5" t="s">
        <v>53</v>
      </c>
      <c r="Q363" s="29"/>
      <c r="R363" s="28"/>
      <c r="S363" s="28"/>
    </row>
    <row r="364" ht="29" customHeight="1" spans="1:19">
      <c r="A364" s="20">
        <v>363</v>
      </c>
      <c r="B364" s="48" t="s">
        <v>1226</v>
      </c>
      <c r="C364" s="49" t="s">
        <v>729</v>
      </c>
      <c r="D364" s="49" t="s">
        <v>80</v>
      </c>
      <c r="E364" s="52" t="e">
        <f>VLOOKUP(D364,#REF!,2,0)</f>
        <v>#REF!</v>
      </c>
      <c r="F364" s="50">
        <v>45956</v>
      </c>
      <c r="G364" s="27">
        <v>10</v>
      </c>
      <c r="H364" s="85" t="s">
        <v>1227</v>
      </c>
      <c r="I364" s="53" t="s">
        <v>1228</v>
      </c>
      <c r="J364" s="26" t="s">
        <v>59</v>
      </c>
      <c r="K364" s="24" t="s">
        <v>1156</v>
      </c>
      <c r="L364" s="27" t="e">
        <f>VLOOKUP(K364,#REF!,2,0)</f>
        <v>#REF!</v>
      </c>
      <c r="M364" s="28" t="e">
        <f>VLOOKUP(L364,#REF!,2,0)</f>
        <v>#REF!</v>
      </c>
      <c r="N364" s="49" t="s">
        <v>1229</v>
      </c>
      <c r="O364" s="5" t="s">
        <v>52</v>
      </c>
      <c r="P364" s="5" t="s">
        <v>52</v>
      </c>
      <c r="Q364" s="29"/>
      <c r="R364" s="28"/>
      <c r="S364" s="28"/>
    </row>
    <row r="365" ht="29" customHeight="1" spans="1:19">
      <c r="A365" s="20">
        <v>364</v>
      </c>
      <c r="B365" s="48" t="s">
        <v>1230</v>
      </c>
      <c r="C365" s="49" t="s">
        <v>372</v>
      </c>
      <c r="D365" s="49" t="s">
        <v>373</v>
      </c>
      <c r="E365" s="52" t="e">
        <f>VLOOKUP(D365,#REF!,2,0)</f>
        <v>#REF!</v>
      </c>
      <c r="F365" s="86">
        <v>45956</v>
      </c>
      <c r="G365" s="27">
        <v>11</v>
      </c>
      <c r="H365" s="53" t="s">
        <v>1231</v>
      </c>
      <c r="I365" s="53" t="s">
        <v>1232</v>
      </c>
      <c r="J365" s="26" t="s">
        <v>325</v>
      </c>
      <c r="K365" s="28"/>
      <c r="L365" s="27"/>
      <c r="M365" s="28"/>
      <c r="N365" s="52"/>
      <c r="O365" s="5" t="s">
        <v>53</v>
      </c>
      <c r="P365" s="5" t="s">
        <v>53</v>
      </c>
      <c r="Q365" s="29"/>
      <c r="R365" s="28"/>
      <c r="S365" s="28"/>
    </row>
    <row r="366" ht="29" customHeight="1" spans="1:19">
      <c r="A366" s="20">
        <v>365</v>
      </c>
      <c r="B366" s="48" t="s">
        <v>1233</v>
      </c>
      <c r="C366" s="49" t="s">
        <v>1028</v>
      </c>
      <c r="D366" s="49" t="s">
        <v>274</v>
      </c>
      <c r="E366" s="52" t="e">
        <f>VLOOKUP(D366,#REF!,2,0)</f>
        <v>#REF!</v>
      </c>
      <c r="F366" s="50">
        <v>45957</v>
      </c>
      <c r="G366" s="27">
        <v>10</v>
      </c>
      <c r="H366" s="89" t="s">
        <v>1234</v>
      </c>
      <c r="I366" s="53" t="s">
        <v>1225</v>
      </c>
      <c r="J366" s="26" t="s">
        <v>325</v>
      </c>
      <c r="K366" s="24" t="s">
        <v>1100</v>
      </c>
      <c r="L366" s="27" t="e">
        <f>VLOOKUP(K366,#REF!,2,0)</f>
        <v>#REF!</v>
      </c>
      <c r="M366" s="28" t="e">
        <f>VLOOKUP(L366,#REF!,2,0)</f>
        <v>#REF!</v>
      </c>
      <c r="N366" s="49"/>
      <c r="O366" s="5" t="s">
        <v>53</v>
      </c>
      <c r="P366" s="5" t="s">
        <v>53</v>
      </c>
      <c r="Q366" s="29"/>
      <c r="R366" s="28"/>
      <c r="S366" s="28"/>
    </row>
    <row r="367" ht="29" customHeight="1" spans="1:19">
      <c r="A367" s="20">
        <v>366</v>
      </c>
      <c r="B367" s="48" t="s">
        <v>1235</v>
      </c>
      <c r="C367" s="49" t="s">
        <v>1236</v>
      </c>
      <c r="D367" s="49" t="s">
        <v>155</v>
      </c>
      <c r="E367" s="52" t="s">
        <v>462</v>
      </c>
      <c r="F367" s="50">
        <v>45958</v>
      </c>
      <c r="G367" s="27">
        <v>10</v>
      </c>
      <c r="H367" s="85" t="s">
        <v>1237</v>
      </c>
      <c r="I367" s="53" t="s">
        <v>1238</v>
      </c>
      <c r="J367" s="26" t="s">
        <v>106</v>
      </c>
      <c r="K367" s="24" t="s">
        <v>1113</v>
      </c>
      <c r="L367" s="27" t="e">
        <f>VLOOKUP(K367,#REF!,2,0)</f>
        <v>#REF!</v>
      </c>
      <c r="M367" s="28" t="e">
        <f>VLOOKUP(L367,#REF!,2,0)</f>
        <v>#REF!</v>
      </c>
      <c r="N367" s="49"/>
      <c r="O367" s="5" t="s">
        <v>53</v>
      </c>
      <c r="P367" s="5" t="s">
        <v>53</v>
      </c>
      <c r="Q367" s="29"/>
      <c r="R367" s="28"/>
      <c r="S367" s="28"/>
    </row>
    <row r="368" ht="29" customHeight="1" spans="1:19">
      <c r="A368" s="20">
        <v>367</v>
      </c>
      <c r="B368" s="48" t="s">
        <v>1239</v>
      </c>
      <c r="C368" s="49" t="s">
        <v>1236</v>
      </c>
      <c r="D368" s="49" t="s">
        <v>155</v>
      </c>
      <c r="E368" s="52" t="s">
        <v>462</v>
      </c>
      <c r="F368" s="50">
        <v>45958</v>
      </c>
      <c r="G368" s="27">
        <v>10</v>
      </c>
      <c r="H368" s="85" t="s">
        <v>1240</v>
      </c>
      <c r="I368" s="53" t="s">
        <v>655</v>
      </c>
      <c r="J368" s="26" t="s">
        <v>127</v>
      </c>
      <c r="K368" s="24" t="s">
        <v>1181</v>
      </c>
      <c r="L368" s="27" t="e">
        <f>VLOOKUP(K368,#REF!,2,0)</f>
        <v>#REF!</v>
      </c>
      <c r="M368" s="28" t="e">
        <f>VLOOKUP(L368,#REF!,2,0)</f>
        <v>#REF!</v>
      </c>
      <c r="N368" s="49"/>
      <c r="O368" s="5" t="s">
        <v>53</v>
      </c>
      <c r="P368" s="5" t="s">
        <v>52</v>
      </c>
      <c r="Q368" s="29"/>
      <c r="R368" s="28"/>
      <c r="S368" s="28"/>
    </row>
    <row r="369" ht="29" customHeight="1" spans="1:19">
      <c r="A369" s="20">
        <v>368</v>
      </c>
      <c r="B369" s="48" t="s">
        <v>1241</v>
      </c>
      <c r="C369" s="49" t="s">
        <v>1242</v>
      </c>
      <c r="D369" s="49" t="s">
        <v>124</v>
      </c>
      <c r="E369" s="52" t="e">
        <f>VLOOKUP(D369,#REF!,2,0)</f>
        <v>#REF!</v>
      </c>
      <c r="F369" s="50">
        <v>45959</v>
      </c>
      <c r="G369" s="27">
        <v>10</v>
      </c>
      <c r="H369" s="85" t="s">
        <v>1243</v>
      </c>
      <c r="I369" s="53" t="s">
        <v>1244</v>
      </c>
      <c r="J369" s="26" t="s">
        <v>66</v>
      </c>
      <c r="K369" s="24" t="s">
        <v>1091</v>
      </c>
      <c r="L369" s="27" t="e">
        <f>VLOOKUP(K369,#REF!,2,0)</f>
        <v>#REF!</v>
      </c>
      <c r="M369" s="28" t="e">
        <f>VLOOKUP(L369,#REF!,2,0)</f>
        <v>#REF!</v>
      </c>
      <c r="N369" s="49"/>
      <c r="O369" s="5" t="s">
        <v>53</v>
      </c>
      <c r="P369" s="5" t="s">
        <v>52</v>
      </c>
      <c r="Q369" s="29"/>
      <c r="R369" s="28"/>
      <c r="S369" s="28"/>
    </row>
    <row r="370" ht="29" customHeight="1" spans="1:19">
      <c r="A370" s="20">
        <v>369</v>
      </c>
      <c r="B370" s="48" t="s">
        <v>1245</v>
      </c>
      <c r="C370" s="49" t="s">
        <v>1246</v>
      </c>
      <c r="D370" s="49" t="s">
        <v>237</v>
      </c>
      <c r="E370" s="52" t="s">
        <v>462</v>
      </c>
      <c r="F370" s="50">
        <v>45960</v>
      </c>
      <c r="G370" s="27">
        <v>10</v>
      </c>
      <c r="H370" s="85" t="s">
        <v>1247</v>
      </c>
      <c r="I370" s="53" t="s">
        <v>1248</v>
      </c>
      <c r="J370" s="26" t="s">
        <v>106</v>
      </c>
      <c r="K370" s="24" t="s">
        <v>1113</v>
      </c>
      <c r="L370" s="27" t="e">
        <f>VLOOKUP(K370,#REF!,2,0)</f>
        <v>#REF!</v>
      </c>
      <c r="M370" s="28" t="e">
        <f>VLOOKUP(L370,#REF!,2,0)</f>
        <v>#REF!</v>
      </c>
      <c r="N370" s="49"/>
      <c r="O370" s="5" t="s">
        <v>53</v>
      </c>
      <c r="P370" s="5" t="s">
        <v>53</v>
      </c>
      <c r="Q370" s="29"/>
      <c r="R370" s="28"/>
      <c r="S370" s="28"/>
    </row>
    <row r="371" ht="29" customHeight="1" spans="1:19">
      <c r="A371" s="20">
        <v>370</v>
      </c>
      <c r="B371" s="48" t="s">
        <v>1249</v>
      </c>
      <c r="C371" s="49" t="s">
        <v>1250</v>
      </c>
      <c r="D371" s="49" t="s">
        <v>155</v>
      </c>
      <c r="E371" s="52" t="s">
        <v>462</v>
      </c>
      <c r="F371" s="50">
        <v>45960</v>
      </c>
      <c r="G371" s="27">
        <v>10</v>
      </c>
      <c r="H371" s="85" t="s">
        <v>1251</v>
      </c>
      <c r="I371" s="53" t="s">
        <v>1252</v>
      </c>
      <c r="J371" s="26" t="s">
        <v>66</v>
      </c>
      <c r="K371" s="24" t="s">
        <v>1091</v>
      </c>
      <c r="L371" s="27" t="e">
        <f>VLOOKUP(K371,#REF!,2,0)</f>
        <v>#REF!</v>
      </c>
      <c r="M371" s="28" t="e">
        <f>VLOOKUP(L371,#REF!,2,0)</f>
        <v>#REF!</v>
      </c>
      <c r="N371" s="49"/>
      <c r="O371" s="5" t="s">
        <v>53</v>
      </c>
      <c r="P371" s="5" t="s">
        <v>52</v>
      </c>
      <c r="Q371" s="29"/>
      <c r="R371" s="28"/>
      <c r="S371" s="28"/>
    </row>
    <row r="372" ht="29" customHeight="1" spans="1:19">
      <c r="A372" s="20">
        <v>371</v>
      </c>
      <c r="B372" s="48" t="s">
        <v>1253</v>
      </c>
      <c r="C372" s="49" t="s">
        <v>1254</v>
      </c>
      <c r="D372" s="49" t="s">
        <v>237</v>
      </c>
      <c r="E372" s="52" t="s">
        <v>462</v>
      </c>
      <c r="F372" s="50">
        <v>45961</v>
      </c>
      <c r="G372" s="27">
        <v>10</v>
      </c>
      <c r="H372" s="85" t="s">
        <v>1255</v>
      </c>
      <c r="I372" s="53" t="s">
        <v>1256</v>
      </c>
      <c r="J372" s="26" t="s">
        <v>325</v>
      </c>
      <c r="K372" s="24" t="s">
        <v>1100</v>
      </c>
      <c r="L372" s="27" t="e">
        <f>VLOOKUP(K372,#REF!,2,0)</f>
        <v>#REF!</v>
      </c>
      <c r="M372" s="28" t="e">
        <f>VLOOKUP(L372,#REF!,2,0)</f>
        <v>#REF!</v>
      </c>
      <c r="N372" s="49"/>
      <c r="O372" s="5" t="s">
        <v>53</v>
      </c>
      <c r="P372" s="5" t="s">
        <v>53</v>
      </c>
      <c r="Q372" s="29"/>
      <c r="R372" s="28"/>
      <c r="S372" s="28"/>
    </row>
    <row r="373" ht="29" customHeight="1" spans="1:19">
      <c r="A373" s="20">
        <v>372</v>
      </c>
      <c r="B373" s="48" t="s">
        <v>1257</v>
      </c>
      <c r="C373" s="49" t="s">
        <v>110</v>
      </c>
      <c r="D373" s="49" t="s">
        <v>80</v>
      </c>
      <c r="E373" s="90" t="str">
        <f>VLOOKUP(D373,[1]省区匹配表!B:C,2,0)</f>
        <v>中</v>
      </c>
      <c r="F373" s="50">
        <v>45962</v>
      </c>
      <c r="G373" s="91">
        <v>11</v>
      </c>
      <c r="H373" s="53" t="s">
        <v>1258</v>
      </c>
      <c r="I373" s="53" t="s">
        <v>1259</v>
      </c>
      <c r="J373" s="26" t="s">
        <v>170</v>
      </c>
      <c r="K373" s="88" t="s">
        <v>1086</v>
      </c>
      <c r="L373" s="88" t="s">
        <v>107</v>
      </c>
      <c r="M373" s="88" t="str">
        <f>VLOOKUP(L373,[1]事故责任判定标准!E:G,2,0)</f>
        <v>无责</v>
      </c>
      <c r="N373" s="90">
        <v>700</v>
      </c>
      <c r="O373" s="92" t="s">
        <v>53</v>
      </c>
      <c r="P373" s="92" t="s">
        <v>52</v>
      </c>
      <c r="Q373" s="93"/>
      <c r="R373" s="92" t="s">
        <v>52</v>
      </c>
      <c r="S373" s="92" t="s">
        <v>52</v>
      </c>
    </row>
    <row r="374" ht="29" customHeight="1" spans="1:19">
      <c r="A374" s="20">
        <v>373</v>
      </c>
      <c r="B374" s="48" t="s">
        <v>1260</v>
      </c>
      <c r="C374" s="49" t="s">
        <v>999</v>
      </c>
      <c r="D374" s="49" t="s">
        <v>1141</v>
      </c>
      <c r="E374" s="90" t="str">
        <f>VLOOKUP(D374,[1]省区匹配表!B:C,2,0)</f>
        <v>北</v>
      </c>
      <c r="F374" s="50">
        <v>45962</v>
      </c>
      <c r="G374" s="91">
        <v>11</v>
      </c>
      <c r="H374" s="53" t="s">
        <v>1261</v>
      </c>
      <c r="I374" s="53" t="s">
        <v>1262</v>
      </c>
      <c r="J374" s="26" t="s">
        <v>325</v>
      </c>
      <c r="K374" s="88" t="s">
        <v>1100</v>
      </c>
      <c r="L374" s="88" t="s">
        <v>107</v>
      </c>
      <c r="M374" s="88" t="s">
        <v>107</v>
      </c>
      <c r="N374" s="90" t="s">
        <v>108</v>
      </c>
      <c r="O374" s="92" t="s">
        <v>53</v>
      </c>
      <c r="P374" s="92" t="s">
        <v>53</v>
      </c>
      <c r="Q374" s="93"/>
      <c r="R374" s="92" t="s">
        <v>52</v>
      </c>
      <c r="S374" s="92" t="s">
        <v>52</v>
      </c>
    </row>
    <row r="375" ht="29" customHeight="1" spans="1:19">
      <c r="A375" s="20">
        <v>374</v>
      </c>
      <c r="B375" s="48" t="s">
        <v>1263</v>
      </c>
      <c r="C375" s="49" t="s">
        <v>473</v>
      </c>
      <c r="D375" s="49" t="s">
        <v>95</v>
      </c>
      <c r="E375" s="90" t="str">
        <f>VLOOKUP(D375,[1]省区匹配表!B:C,2,0)</f>
        <v>北</v>
      </c>
      <c r="F375" s="50">
        <v>45963</v>
      </c>
      <c r="G375" s="91">
        <v>11</v>
      </c>
      <c r="H375" s="53" t="s">
        <v>1264</v>
      </c>
      <c r="I375" s="53" t="s">
        <v>559</v>
      </c>
      <c r="J375" s="26" t="s">
        <v>77</v>
      </c>
      <c r="K375" s="92" t="s">
        <v>1265</v>
      </c>
      <c r="L375" s="88" t="s">
        <v>51</v>
      </c>
      <c r="M375" s="88" t="s">
        <v>50</v>
      </c>
      <c r="N375" s="90"/>
      <c r="O375" s="92" t="s">
        <v>53</v>
      </c>
      <c r="P375" s="92" t="s">
        <v>52</v>
      </c>
      <c r="Q375" s="93"/>
      <c r="R375" s="92" t="s">
        <v>52</v>
      </c>
      <c r="S375" s="92" t="s">
        <v>53</v>
      </c>
    </row>
    <row r="376" ht="29" customHeight="1" spans="1:19">
      <c r="A376" s="20">
        <v>375</v>
      </c>
      <c r="B376" s="48" t="s">
        <v>1266</v>
      </c>
      <c r="C376" s="49" t="s">
        <v>62</v>
      </c>
      <c r="D376" s="49" t="s">
        <v>63</v>
      </c>
      <c r="E376" s="90" t="str">
        <f>VLOOKUP(D376,[1]省区匹配表!B:C,2,0)</f>
        <v>北</v>
      </c>
      <c r="F376" s="50">
        <v>45963</v>
      </c>
      <c r="G376" s="91">
        <v>11</v>
      </c>
      <c r="H376" s="53" t="s">
        <v>1267</v>
      </c>
      <c r="I376" s="53" t="s">
        <v>1268</v>
      </c>
      <c r="J376" s="26" t="s">
        <v>325</v>
      </c>
      <c r="K376" s="88" t="s">
        <v>1100</v>
      </c>
      <c r="L376" s="88" t="s">
        <v>107</v>
      </c>
      <c r="M376" s="88" t="s">
        <v>107</v>
      </c>
      <c r="N376" s="90" t="s">
        <v>108</v>
      </c>
      <c r="O376" s="92" t="s">
        <v>53</v>
      </c>
      <c r="P376" s="92" t="s">
        <v>53</v>
      </c>
      <c r="Q376" s="93"/>
      <c r="R376" s="92" t="s">
        <v>52</v>
      </c>
      <c r="S376" s="92" t="s">
        <v>53</v>
      </c>
    </row>
    <row r="377" ht="29" customHeight="1" spans="1:19">
      <c r="A377" s="20">
        <v>376</v>
      </c>
      <c r="B377" s="48" t="s">
        <v>1269</v>
      </c>
      <c r="C377" s="49" t="s">
        <v>193</v>
      </c>
      <c r="D377" s="49" t="s">
        <v>124</v>
      </c>
      <c r="E377" s="90" t="str">
        <f>VLOOKUP(D377,[1]省区匹配表!B:C,2,0)</f>
        <v>南</v>
      </c>
      <c r="F377" s="50">
        <v>45965</v>
      </c>
      <c r="G377" s="91">
        <v>11</v>
      </c>
      <c r="H377" s="53" t="s">
        <v>1270</v>
      </c>
      <c r="I377" s="53" t="s">
        <v>1271</v>
      </c>
      <c r="J377" s="26" t="s">
        <v>49</v>
      </c>
      <c r="K377" s="88" t="s">
        <v>1272</v>
      </c>
      <c r="L377" s="88" t="s">
        <v>107</v>
      </c>
      <c r="M377" s="88" t="s">
        <v>107</v>
      </c>
      <c r="N377" s="90"/>
      <c r="O377" s="92" t="s">
        <v>53</v>
      </c>
      <c r="P377" s="92" t="s">
        <v>53</v>
      </c>
      <c r="Q377" s="93"/>
      <c r="R377" s="92" t="s">
        <v>52</v>
      </c>
      <c r="S377" s="92" t="s">
        <v>52</v>
      </c>
    </row>
    <row r="378" ht="29" customHeight="1" spans="1:19">
      <c r="A378" s="20">
        <v>377</v>
      </c>
      <c r="B378" s="94" t="s">
        <v>1273</v>
      </c>
      <c r="C378" s="90" t="s">
        <v>1028</v>
      </c>
      <c r="D378" s="90" t="s">
        <v>274</v>
      </c>
      <c r="E378" s="90" t="s">
        <v>539</v>
      </c>
      <c r="F378" s="95">
        <v>45965</v>
      </c>
      <c r="G378" s="91">
        <v>11</v>
      </c>
      <c r="H378" s="96" t="s">
        <v>1274</v>
      </c>
      <c r="I378" s="96" t="s">
        <v>108</v>
      </c>
      <c r="J378" s="26" t="s">
        <v>106</v>
      </c>
      <c r="K378" s="88" t="s">
        <v>1113</v>
      </c>
      <c r="L378" s="88" t="s">
        <v>107</v>
      </c>
      <c r="M378" s="88" t="s">
        <v>107</v>
      </c>
      <c r="N378" s="90" t="s">
        <v>108</v>
      </c>
      <c r="O378" s="92" t="s">
        <v>53</v>
      </c>
      <c r="P378" s="92" t="s">
        <v>53</v>
      </c>
      <c r="Q378" s="93"/>
      <c r="R378" s="92" t="s">
        <v>53</v>
      </c>
      <c r="S378" s="92" t="s">
        <v>52</v>
      </c>
    </row>
    <row r="379" ht="29" customHeight="1" spans="1:19">
      <c r="A379" s="20">
        <v>378</v>
      </c>
      <c r="B379" s="48" t="s">
        <v>1275</v>
      </c>
      <c r="C379" s="49" t="s">
        <v>102</v>
      </c>
      <c r="D379" s="49" t="s">
        <v>103</v>
      </c>
      <c r="E379" s="90" t="str">
        <f>VLOOKUP(D379,[1]省区匹配表!B:C,2,0)</f>
        <v>中</v>
      </c>
      <c r="F379" s="50">
        <v>45966</v>
      </c>
      <c r="G379" s="91">
        <v>11</v>
      </c>
      <c r="H379" s="53" t="s">
        <v>1276</v>
      </c>
      <c r="I379" s="53" t="s">
        <v>1277</v>
      </c>
      <c r="J379" s="26" t="s">
        <v>127</v>
      </c>
      <c r="K379" s="88" t="s">
        <v>1181</v>
      </c>
      <c r="L379" s="88" t="s">
        <v>107</v>
      </c>
      <c r="M379" s="88" t="s">
        <v>107</v>
      </c>
      <c r="N379" s="90">
        <v>10000</v>
      </c>
      <c r="O379" s="92" t="s">
        <v>53</v>
      </c>
      <c r="P379" s="92" t="s">
        <v>52</v>
      </c>
      <c r="Q379" s="93"/>
      <c r="R379" s="92" t="s">
        <v>52</v>
      </c>
      <c r="S379" s="92" t="s">
        <v>52</v>
      </c>
    </row>
    <row r="380" ht="29" customHeight="1" spans="1:19">
      <c r="A380" s="20">
        <v>379</v>
      </c>
      <c r="B380" s="48" t="s">
        <v>1278</v>
      </c>
      <c r="C380" s="49" t="s">
        <v>302</v>
      </c>
      <c r="D380" s="49" t="s">
        <v>124</v>
      </c>
      <c r="E380" s="90" t="str">
        <f>VLOOKUP(D380,[1]省区匹配表!B:C,2,0)</f>
        <v>南</v>
      </c>
      <c r="F380" s="50">
        <v>45966</v>
      </c>
      <c r="G380" s="91">
        <v>11</v>
      </c>
      <c r="H380" s="53" t="s">
        <v>1279</v>
      </c>
      <c r="I380" s="53" t="s">
        <v>787</v>
      </c>
      <c r="J380" s="26" t="s">
        <v>59</v>
      </c>
      <c r="K380" s="88" t="s">
        <v>1127</v>
      </c>
      <c r="L380" s="88" t="s">
        <v>60</v>
      </c>
      <c r="M380" s="88" t="s">
        <v>50</v>
      </c>
      <c r="N380" s="90">
        <v>7000</v>
      </c>
      <c r="O380" s="92" t="s">
        <v>52</v>
      </c>
      <c r="P380" s="92" t="s">
        <v>52</v>
      </c>
      <c r="Q380" s="93"/>
      <c r="R380" s="92" t="s">
        <v>52</v>
      </c>
      <c r="S380" s="92" t="s">
        <v>52</v>
      </c>
    </row>
    <row r="381" ht="29" customHeight="1" spans="1:19">
      <c r="A381" s="20">
        <v>380</v>
      </c>
      <c r="B381" s="48" t="s">
        <v>1280</v>
      </c>
      <c r="C381" s="49" t="s">
        <v>1281</v>
      </c>
      <c r="D381" s="49" t="s">
        <v>1151</v>
      </c>
      <c r="E381" s="90" t="str">
        <f>VLOOKUP(D381,[1]省区匹配表!B:C,2,0)</f>
        <v>北</v>
      </c>
      <c r="F381" s="50">
        <v>45967</v>
      </c>
      <c r="G381" s="91">
        <v>11</v>
      </c>
      <c r="H381" s="53" t="s">
        <v>1282</v>
      </c>
      <c r="I381" s="53" t="s">
        <v>1283</v>
      </c>
      <c r="J381" s="26" t="s">
        <v>106</v>
      </c>
      <c r="K381" s="88" t="s">
        <v>1113</v>
      </c>
      <c r="L381" s="88" t="s">
        <v>107</v>
      </c>
      <c r="M381" s="88" t="s">
        <v>107</v>
      </c>
      <c r="N381" s="90" t="s">
        <v>108</v>
      </c>
      <c r="O381" s="92" t="s">
        <v>53</v>
      </c>
      <c r="P381" s="92" t="s">
        <v>53</v>
      </c>
      <c r="Q381" s="93"/>
      <c r="R381" s="92" t="s">
        <v>52</v>
      </c>
      <c r="S381" s="92" t="s">
        <v>52</v>
      </c>
    </row>
    <row r="382" ht="29" customHeight="1" spans="1:19">
      <c r="A382" s="20">
        <v>381</v>
      </c>
      <c r="B382" s="48" t="s">
        <v>1284</v>
      </c>
      <c r="C382" s="49" t="s">
        <v>193</v>
      </c>
      <c r="D382" s="49" t="s">
        <v>124</v>
      </c>
      <c r="E382" s="90" t="str">
        <f>VLOOKUP(D382,[1]省区匹配表!B:C,2,0)</f>
        <v>南</v>
      </c>
      <c r="F382" s="50">
        <v>45967</v>
      </c>
      <c r="G382" s="91">
        <v>11</v>
      </c>
      <c r="H382" s="53" t="s">
        <v>1285</v>
      </c>
      <c r="I382" s="53" t="s">
        <v>1286</v>
      </c>
      <c r="J382" s="26" t="s">
        <v>49</v>
      </c>
      <c r="K382" s="88" t="s">
        <v>1272</v>
      </c>
      <c r="L382" s="88" t="s">
        <v>107</v>
      </c>
      <c r="M382" s="88" t="s">
        <v>107</v>
      </c>
      <c r="N382" s="90">
        <v>1000</v>
      </c>
      <c r="O382" s="92" t="s">
        <v>53</v>
      </c>
      <c r="P382" s="92" t="s">
        <v>53</v>
      </c>
      <c r="Q382" s="93"/>
      <c r="R382" s="92"/>
      <c r="S382" s="92"/>
    </row>
    <row r="383" ht="29" customHeight="1" spans="1:19">
      <c r="A383" s="20">
        <v>382</v>
      </c>
      <c r="B383" s="94" t="s">
        <v>1128</v>
      </c>
      <c r="C383" s="90" t="s">
        <v>1129</v>
      </c>
      <c r="D383" s="90" t="s">
        <v>74</v>
      </c>
      <c r="E383" s="90" t="s">
        <v>462</v>
      </c>
      <c r="F383" s="95">
        <v>45967</v>
      </c>
      <c r="G383" s="91">
        <v>11</v>
      </c>
      <c r="H383" s="96" t="s">
        <v>1287</v>
      </c>
      <c r="I383" s="96" t="s">
        <v>1216</v>
      </c>
      <c r="J383" s="26" t="s">
        <v>700</v>
      </c>
      <c r="K383" s="88" t="s">
        <v>1288</v>
      </c>
      <c r="L383" s="88" t="s">
        <v>60</v>
      </c>
      <c r="M383" s="88" t="s">
        <v>50</v>
      </c>
      <c r="N383" s="90" t="s">
        <v>108</v>
      </c>
      <c r="O383" s="92" t="s">
        <v>52</v>
      </c>
      <c r="P383" s="92" t="s">
        <v>52</v>
      </c>
      <c r="Q383" s="93"/>
      <c r="R383" s="92" t="s">
        <v>52</v>
      </c>
      <c r="S383" s="92" t="s">
        <v>52</v>
      </c>
    </row>
    <row r="384" ht="29" customHeight="1" spans="1:19">
      <c r="A384" s="20">
        <v>383</v>
      </c>
      <c r="B384" s="94" t="s">
        <v>1289</v>
      </c>
      <c r="C384" s="90" t="s">
        <v>1290</v>
      </c>
      <c r="D384" s="90" t="s">
        <v>155</v>
      </c>
      <c r="E384" s="90" t="s">
        <v>462</v>
      </c>
      <c r="F384" s="95">
        <v>45967</v>
      </c>
      <c r="G384" s="91">
        <v>11</v>
      </c>
      <c r="H384" s="96" t="s">
        <v>1291</v>
      </c>
      <c r="I384" s="96" t="s">
        <v>108</v>
      </c>
      <c r="J384" s="26" t="s">
        <v>106</v>
      </c>
      <c r="K384" s="88" t="s">
        <v>1113</v>
      </c>
      <c r="L384" s="88" t="s">
        <v>107</v>
      </c>
      <c r="M384" s="88" t="s">
        <v>107</v>
      </c>
      <c r="N384" s="90" t="s">
        <v>108</v>
      </c>
      <c r="O384" s="92" t="s">
        <v>53</v>
      </c>
      <c r="P384" s="92" t="s">
        <v>53</v>
      </c>
      <c r="Q384" s="93"/>
      <c r="R384" s="92" t="s">
        <v>53</v>
      </c>
      <c r="S384" s="92" t="s">
        <v>52</v>
      </c>
    </row>
    <row r="385" ht="29" customHeight="1" spans="1:19">
      <c r="A385" s="20">
        <v>384</v>
      </c>
      <c r="B385" s="48" t="s">
        <v>1292</v>
      </c>
      <c r="C385" s="49" t="s">
        <v>236</v>
      </c>
      <c r="D385" s="49" t="s">
        <v>237</v>
      </c>
      <c r="E385" s="90" t="str">
        <f>VLOOKUP(D385,[1]省区匹配表!B:C,2,0)</f>
        <v>中</v>
      </c>
      <c r="F385" s="50">
        <v>45968</v>
      </c>
      <c r="G385" s="91">
        <v>11</v>
      </c>
      <c r="H385" s="53" t="s">
        <v>1293</v>
      </c>
      <c r="I385" s="53" t="s">
        <v>1294</v>
      </c>
      <c r="J385" s="26" t="s">
        <v>66</v>
      </c>
      <c r="K385" s="97" t="s">
        <v>1169</v>
      </c>
      <c r="L385" s="88" t="s">
        <v>107</v>
      </c>
      <c r="M385" s="88" t="s">
        <v>107</v>
      </c>
      <c r="N385" s="90" t="s">
        <v>108</v>
      </c>
      <c r="O385" s="92" t="s">
        <v>53</v>
      </c>
      <c r="P385" s="92" t="s">
        <v>53</v>
      </c>
      <c r="Q385" s="93"/>
      <c r="R385" s="92" t="s">
        <v>52</v>
      </c>
      <c r="S385" s="92" t="s">
        <v>53</v>
      </c>
    </row>
    <row r="386" ht="29" customHeight="1" spans="1:19">
      <c r="A386" s="20">
        <v>385</v>
      </c>
      <c r="B386" s="48" t="s">
        <v>1295</v>
      </c>
      <c r="C386" s="49" t="s">
        <v>263</v>
      </c>
      <c r="D386" s="49" t="s">
        <v>63</v>
      </c>
      <c r="E386" s="90" t="str">
        <f>VLOOKUP(D386,[1]省区匹配表!B:C,2,0)</f>
        <v>北</v>
      </c>
      <c r="F386" s="50">
        <v>45968</v>
      </c>
      <c r="G386" s="91">
        <v>11</v>
      </c>
      <c r="H386" s="53" t="s">
        <v>1296</v>
      </c>
      <c r="I386" s="53" t="s">
        <v>669</v>
      </c>
      <c r="J386" s="26" t="s">
        <v>66</v>
      </c>
      <c r="K386" s="88" t="s">
        <v>1091</v>
      </c>
      <c r="L386" s="88" t="s">
        <v>51</v>
      </c>
      <c r="M386" s="88" t="s">
        <v>50</v>
      </c>
      <c r="N386" s="90" t="s">
        <v>108</v>
      </c>
      <c r="O386" s="92" t="s">
        <v>53</v>
      </c>
      <c r="P386" s="92" t="s">
        <v>52</v>
      </c>
      <c r="Q386" s="93"/>
      <c r="R386" s="92" t="s">
        <v>52</v>
      </c>
      <c r="S386" s="92" t="s">
        <v>52</v>
      </c>
    </row>
    <row r="387" ht="29" customHeight="1" spans="1:19">
      <c r="A387" s="20">
        <v>386</v>
      </c>
      <c r="B387" s="94" t="s">
        <v>1297</v>
      </c>
      <c r="C387" s="90" t="s">
        <v>1298</v>
      </c>
      <c r="D387" s="90" t="s">
        <v>103</v>
      </c>
      <c r="E387" s="90" t="s">
        <v>462</v>
      </c>
      <c r="F387" s="95">
        <v>45968</v>
      </c>
      <c r="G387" s="91">
        <v>11</v>
      </c>
      <c r="H387" s="96" t="s">
        <v>1299</v>
      </c>
      <c r="I387" s="96" t="s">
        <v>108</v>
      </c>
      <c r="J387" s="26" t="s">
        <v>66</v>
      </c>
      <c r="K387" s="88" t="s">
        <v>1095</v>
      </c>
      <c r="L387" s="88" t="s">
        <v>60</v>
      </c>
      <c r="M387" s="88" t="s">
        <v>50</v>
      </c>
      <c r="N387" s="90" t="s">
        <v>108</v>
      </c>
      <c r="O387" s="92" t="s">
        <v>52</v>
      </c>
      <c r="P387" s="92" t="s">
        <v>52</v>
      </c>
      <c r="Q387" s="93"/>
      <c r="R387" s="92" t="s">
        <v>53</v>
      </c>
      <c r="S387" s="92" t="s">
        <v>52</v>
      </c>
    </row>
    <row r="388" ht="29" customHeight="1" spans="1:19">
      <c r="A388" s="20">
        <v>387</v>
      </c>
      <c r="B388" s="94" t="s">
        <v>1300</v>
      </c>
      <c r="C388" s="90" t="s">
        <v>1250</v>
      </c>
      <c r="D388" s="90" t="s">
        <v>155</v>
      </c>
      <c r="E388" s="90" t="s">
        <v>462</v>
      </c>
      <c r="F388" s="95">
        <v>45968</v>
      </c>
      <c r="G388" s="91">
        <v>11</v>
      </c>
      <c r="H388" s="96" t="s">
        <v>1301</v>
      </c>
      <c r="I388" s="96" t="s">
        <v>108</v>
      </c>
      <c r="J388" s="26" t="s">
        <v>325</v>
      </c>
      <c r="K388" s="88" t="s">
        <v>1100</v>
      </c>
      <c r="L388" s="88" t="s">
        <v>107</v>
      </c>
      <c r="M388" s="88" t="s">
        <v>107</v>
      </c>
      <c r="N388" s="90" t="s">
        <v>108</v>
      </c>
      <c r="O388" s="92" t="s">
        <v>53</v>
      </c>
      <c r="P388" s="92" t="s">
        <v>53</v>
      </c>
      <c r="Q388" s="93"/>
      <c r="R388" s="92" t="s">
        <v>53</v>
      </c>
      <c r="S388" s="92" t="s">
        <v>52</v>
      </c>
    </row>
    <row r="389" ht="29" customHeight="1" spans="1:19">
      <c r="A389" s="20">
        <v>388</v>
      </c>
      <c r="B389" s="98" t="s">
        <v>1302</v>
      </c>
      <c r="C389" s="90" t="s">
        <v>979</v>
      </c>
      <c r="D389" s="90" t="s">
        <v>115</v>
      </c>
      <c r="E389" s="90" t="s">
        <v>539</v>
      </c>
      <c r="F389" s="95">
        <v>45969</v>
      </c>
      <c r="G389" s="91">
        <v>11</v>
      </c>
      <c r="H389" s="96" t="s">
        <v>1303</v>
      </c>
      <c r="I389" s="96" t="s">
        <v>108</v>
      </c>
      <c r="J389" s="26" t="s">
        <v>700</v>
      </c>
      <c r="K389" s="88" t="s">
        <v>1288</v>
      </c>
      <c r="L389" s="88" t="s">
        <v>336</v>
      </c>
      <c r="M389" s="88" t="s">
        <v>50</v>
      </c>
      <c r="N389" s="90" t="s">
        <v>108</v>
      </c>
      <c r="O389" s="92" t="s">
        <v>53</v>
      </c>
      <c r="P389" s="92" t="s">
        <v>53</v>
      </c>
      <c r="Q389" s="93"/>
      <c r="R389" s="92" t="s">
        <v>53</v>
      </c>
      <c r="S389" s="92" t="s">
        <v>52</v>
      </c>
    </row>
    <row r="390" ht="29" customHeight="1" spans="1:19">
      <c r="A390" s="20">
        <v>389</v>
      </c>
      <c r="B390" s="48" t="s">
        <v>1304</v>
      </c>
      <c r="C390" s="49" t="s">
        <v>315</v>
      </c>
      <c r="D390" s="49" t="s">
        <v>1141</v>
      </c>
      <c r="E390" s="90" t="str">
        <f>VLOOKUP(D390,[1]省区匹配表!B:C,2,0)</f>
        <v>北</v>
      </c>
      <c r="F390" s="50">
        <v>45971</v>
      </c>
      <c r="G390" s="91">
        <v>11</v>
      </c>
      <c r="H390" s="53" t="s">
        <v>1305</v>
      </c>
      <c r="I390" s="53" t="s">
        <v>1306</v>
      </c>
      <c r="J390" s="26" t="s">
        <v>59</v>
      </c>
      <c r="K390" s="88" t="s">
        <v>1127</v>
      </c>
      <c r="L390" s="88" t="s">
        <v>60</v>
      </c>
      <c r="M390" s="88" t="s">
        <v>50</v>
      </c>
      <c r="N390" s="90">
        <v>10000</v>
      </c>
      <c r="O390" s="92" t="s">
        <v>52</v>
      </c>
      <c r="P390" s="92" t="s">
        <v>52</v>
      </c>
      <c r="Q390" s="93"/>
      <c r="R390" s="92" t="s">
        <v>53</v>
      </c>
      <c r="S390" s="92" t="s">
        <v>52</v>
      </c>
    </row>
    <row r="391" ht="29" customHeight="1" spans="1:19">
      <c r="A391" s="20">
        <v>390</v>
      </c>
      <c r="B391" s="48" t="s">
        <v>1307</v>
      </c>
      <c r="C391" s="49" t="s">
        <v>160</v>
      </c>
      <c r="D391" s="49" t="s">
        <v>103</v>
      </c>
      <c r="E391" s="90" t="str">
        <f>VLOOKUP(D391,[1]省区匹配表!B:C,2,0)</f>
        <v>中</v>
      </c>
      <c r="F391" s="50">
        <v>45971</v>
      </c>
      <c r="G391" s="91">
        <v>11</v>
      </c>
      <c r="H391" s="53" t="s">
        <v>1308</v>
      </c>
      <c r="I391" s="53" t="s">
        <v>1309</v>
      </c>
      <c r="J391" s="26" t="s">
        <v>170</v>
      </c>
      <c r="K391" s="88" t="s">
        <v>1086</v>
      </c>
      <c r="L391" s="88" t="s">
        <v>107</v>
      </c>
      <c r="M391" s="88" t="s">
        <v>107</v>
      </c>
      <c r="N391" s="90" t="s">
        <v>108</v>
      </c>
      <c r="O391" s="92" t="s">
        <v>53</v>
      </c>
      <c r="P391" s="92" t="s">
        <v>53</v>
      </c>
      <c r="Q391" s="93"/>
      <c r="R391" s="92" t="s">
        <v>52</v>
      </c>
      <c r="S391" s="92" t="s">
        <v>53</v>
      </c>
    </row>
    <row r="392" ht="29" customHeight="1" spans="1:19">
      <c r="A392" s="20">
        <v>391</v>
      </c>
      <c r="B392" s="48" t="s">
        <v>1310</v>
      </c>
      <c r="C392" s="49" t="s">
        <v>85</v>
      </c>
      <c r="D392" s="49" t="s">
        <v>63</v>
      </c>
      <c r="E392" s="90" t="str">
        <f>VLOOKUP(D392,[1]省区匹配表!B:C,2,0)</f>
        <v>北</v>
      </c>
      <c r="F392" s="50">
        <v>45972</v>
      </c>
      <c r="G392" s="91">
        <v>11</v>
      </c>
      <c r="H392" s="53" t="s">
        <v>1311</v>
      </c>
      <c r="I392" s="53" t="s">
        <v>1312</v>
      </c>
      <c r="J392" s="26" t="s">
        <v>106</v>
      </c>
      <c r="K392" s="88" t="s">
        <v>1113</v>
      </c>
      <c r="L392" s="88" t="s">
        <v>107</v>
      </c>
      <c r="M392" s="88" t="s">
        <v>107</v>
      </c>
      <c r="N392" s="90" t="s">
        <v>108</v>
      </c>
      <c r="O392" s="92" t="s">
        <v>53</v>
      </c>
      <c r="P392" s="92" t="s">
        <v>53</v>
      </c>
      <c r="Q392" s="93"/>
      <c r="R392" s="92" t="s">
        <v>52</v>
      </c>
      <c r="S392" s="92" t="s">
        <v>53</v>
      </c>
    </row>
    <row r="393" ht="29" customHeight="1" spans="1:19">
      <c r="A393" s="20">
        <v>392</v>
      </c>
      <c r="B393" s="48" t="s">
        <v>1313</v>
      </c>
      <c r="C393" s="49" t="s">
        <v>273</v>
      </c>
      <c r="D393" s="49" t="s">
        <v>274</v>
      </c>
      <c r="E393" s="90" t="str">
        <f>VLOOKUP(D393,[1]省区匹配表!B:C,2,0)</f>
        <v>北</v>
      </c>
      <c r="F393" s="50">
        <v>45972</v>
      </c>
      <c r="G393" s="91">
        <v>11</v>
      </c>
      <c r="H393" s="53" t="s">
        <v>1314</v>
      </c>
      <c r="I393" s="53" t="s">
        <v>1315</v>
      </c>
      <c r="J393" s="26" t="s">
        <v>66</v>
      </c>
      <c r="K393" s="88" t="s">
        <v>1166</v>
      </c>
      <c r="L393" s="88" t="s">
        <v>51</v>
      </c>
      <c r="M393" s="88" t="s">
        <v>50</v>
      </c>
      <c r="N393" s="90"/>
      <c r="O393" s="92" t="s">
        <v>53</v>
      </c>
      <c r="P393" s="92" t="s">
        <v>52</v>
      </c>
      <c r="Q393" s="93"/>
      <c r="R393" s="92" t="s">
        <v>52</v>
      </c>
      <c r="S393" s="92" t="s">
        <v>52</v>
      </c>
    </row>
    <row r="394" ht="29" customHeight="1" spans="1:19">
      <c r="A394" s="20">
        <v>393</v>
      </c>
      <c r="B394" s="48" t="s">
        <v>1316</v>
      </c>
      <c r="C394" s="49" t="s">
        <v>236</v>
      </c>
      <c r="D394" s="49" t="s">
        <v>237</v>
      </c>
      <c r="E394" s="90" t="str">
        <f>VLOOKUP(D394,[1]省区匹配表!B:C,2,0)</f>
        <v>中</v>
      </c>
      <c r="F394" s="50">
        <v>45973</v>
      </c>
      <c r="G394" s="91">
        <v>11</v>
      </c>
      <c r="H394" s="53" t="s">
        <v>1317</v>
      </c>
      <c r="I394" s="53" t="s">
        <v>1318</v>
      </c>
      <c r="J394" s="26" t="s">
        <v>127</v>
      </c>
      <c r="K394" s="88" t="s">
        <v>1181</v>
      </c>
      <c r="L394" s="88" t="s">
        <v>107</v>
      </c>
      <c r="M394" s="88" t="s">
        <v>107</v>
      </c>
      <c r="N394" s="90"/>
      <c r="O394" s="92" t="s">
        <v>53</v>
      </c>
      <c r="P394" s="92" t="s">
        <v>52</v>
      </c>
      <c r="Q394" s="93"/>
      <c r="R394" s="92" t="s">
        <v>52</v>
      </c>
      <c r="S394" s="92" t="s">
        <v>53</v>
      </c>
    </row>
    <row r="395" ht="29" customHeight="1" spans="1:19">
      <c r="A395" s="20">
        <v>394</v>
      </c>
      <c r="B395" s="48" t="s">
        <v>1319</v>
      </c>
      <c r="C395" s="49" t="s">
        <v>55</v>
      </c>
      <c r="D395" s="49" t="s">
        <v>56</v>
      </c>
      <c r="E395" s="90" t="str">
        <f>VLOOKUP(D395,[1]省区匹配表!B:C,2,0)</f>
        <v>中</v>
      </c>
      <c r="F395" s="50">
        <v>45973</v>
      </c>
      <c r="G395" s="91">
        <v>11</v>
      </c>
      <c r="H395" s="53" t="s">
        <v>1320</v>
      </c>
      <c r="I395" s="53" t="s">
        <v>896</v>
      </c>
      <c r="J395" s="26" t="s">
        <v>170</v>
      </c>
      <c r="K395" s="88" t="s">
        <v>1086</v>
      </c>
      <c r="L395" s="88" t="s">
        <v>107</v>
      </c>
      <c r="M395" s="88" t="s">
        <v>107</v>
      </c>
      <c r="N395" s="90" t="s">
        <v>108</v>
      </c>
      <c r="O395" s="92" t="s">
        <v>53</v>
      </c>
      <c r="P395" s="92" t="s">
        <v>53</v>
      </c>
      <c r="Q395" s="93"/>
      <c r="R395" s="92" t="s">
        <v>52</v>
      </c>
      <c r="S395" s="92" t="s">
        <v>52</v>
      </c>
    </row>
    <row r="396" ht="29" customHeight="1" spans="1:19">
      <c r="A396" s="20">
        <v>395</v>
      </c>
      <c r="B396" s="99" t="s">
        <v>1321</v>
      </c>
      <c r="C396" s="90" t="s">
        <v>1322</v>
      </c>
      <c r="D396" s="90" t="s">
        <v>115</v>
      </c>
      <c r="E396" s="90" t="s">
        <v>539</v>
      </c>
      <c r="F396" s="95">
        <v>45973</v>
      </c>
      <c r="G396" s="91">
        <v>11</v>
      </c>
      <c r="H396" s="96" t="s">
        <v>1323</v>
      </c>
      <c r="I396" s="96" t="s">
        <v>1256</v>
      </c>
      <c r="J396" s="26" t="s">
        <v>325</v>
      </c>
      <c r="K396" s="88" t="s">
        <v>1100</v>
      </c>
      <c r="L396" s="88" t="s">
        <v>107</v>
      </c>
      <c r="M396" s="88" t="s">
        <v>107</v>
      </c>
      <c r="N396" s="90"/>
      <c r="O396" s="92" t="s">
        <v>53</v>
      </c>
      <c r="P396" s="92" t="s">
        <v>53</v>
      </c>
      <c r="Q396" s="93"/>
      <c r="R396" s="92" t="s">
        <v>53</v>
      </c>
      <c r="S396" s="92" t="s">
        <v>52</v>
      </c>
    </row>
    <row r="397" ht="29" customHeight="1" spans="1:19">
      <c r="A397" s="20">
        <v>396</v>
      </c>
      <c r="B397" s="48" t="s">
        <v>1324</v>
      </c>
      <c r="C397" s="49" t="s">
        <v>642</v>
      </c>
      <c r="D397" s="49" t="s">
        <v>1325</v>
      </c>
      <c r="E397" s="90" t="s">
        <v>539</v>
      </c>
      <c r="F397" s="50">
        <v>45974</v>
      </c>
      <c r="G397" s="91">
        <v>11</v>
      </c>
      <c r="H397" s="53" t="s">
        <v>1326</v>
      </c>
      <c r="I397" s="53" t="s">
        <v>1327</v>
      </c>
      <c r="J397" s="26" t="s">
        <v>170</v>
      </c>
      <c r="K397" s="88" t="s">
        <v>1086</v>
      </c>
      <c r="L397" s="88" t="s">
        <v>107</v>
      </c>
      <c r="M397" s="88" t="s">
        <v>107</v>
      </c>
      <c r="N397" s="90" t="s">
        <v>108</v>
      </c>
      <c r="O397" s="92" t="s">
        <v>53</v>
      </c>
      <c r="P397" s="92" t="s">
        <v>53</v>
      </c>
      <c r="Q397" s="93"/>
      <c r="R397" s="92" t="s">
        <v>52</v>
      </c>
      <c r="S397" s="92" t="s">
        <v>53</v>
      </c>
    </row>
    <row r="398" ht="29" customHeight="1" spans="1:19">
      <c r="A398" s="20">
        <v>397</v>
      </c>
      <c r="B398" s="94" t="s">
        <v>1328</v>
      </c>
      <c r="C398" s="90" t="s">
        <v>1329</v>
      </c>
      <c r="D398" s="90" t="s">
        <v>1330</v>
      </c>
      <c r="E398" s="90" t="s">
        <v>539</v>
      </c>
      <c r="F398" s="95">
        <v>45975</v>
      </c>
      <c r="G398" s="91">
        <v>11</v>
      </c>
      <c r="H398" s="96" t="s">
        <v>1331</v>
      </c>
      <c r="I398" s="96" t="s">
        <v>108</v>
      </c>
      <c r="J398" s="26" t="s">
        <v>127</v>
      </c>
      <c r="K398" s="88" t="s">
        <v>1169</v>
      </c>
      <c r="L398" s="88" t="s">
        <v>107</v>
      </c>
      <c r="M398" s="88" t="s">
        <v>107</v>
      </c>
      <c r="N398" s="90">
        <v>1100</v>
      </c>
      <c r="O398" s="92" t="s">
        <v>53</v>
      </c>
      <c r="P398" s="92" t="s">
        <v>52</v>
      </c>
      <c r="Q398" s="93"/>
      <c r="R398" s="92" t="s">
        <v>52</v>
      </c>
      <c r="S398" s="92" t="s">
        <v>52</v>
      </c>
    </row>
    <row r="399" ht="29" customHeight="1" spans="1:19">
      <c r="A399" s="20">
        <v>398</v>
      </c>
      <c r="B399" s="48" t="s">
        <v>1332</v>
      </c>
      <c r="C399" s="49" t="s">
        <v>79</v>
      </c>
      <c r="D399" s="49" t="s">
        <v>80</v>
      </c>
      <c r="E399" s="90" t="str">
        <f>VLOOKUP(D399,[1]省区匹配表!B:C,2,0)</f>
        <v>中</v>
      </c>
      <c r="F399" s="50">
        <v>45976</v>
      </c>
      <c r="G399" s="91">
        <v>11</v>
      </c>
      <c r="H399" s="53" t="s">
        <v>1333</v>
      </c>
      <c r="I399" s="53" t="s">
        <v>516</v>
      </c>
      <c r="J399" s="26" t="s">
        <v>106</v>
      </c>
      <c r="K399" s="88" t="s">
        <v>1113</v>
      </c>
      <c r="L399" s="88" t="s">
        <v>107</v>
      </c>
      <c r="M399" s="88" t="s">
        <v>107</v>
      </c>
      <c r="N399" s="90" t="s">
        <v>108</v>
      </c>
      <c r="O399" s="92" t="s">
        <v>53</v>
      </c>
      <c r="P399" s="92" t="s">
        <v>53</v>
      </c>
      <c r="Q399" s="93"/>
      <c r="R399" s="92" t="s">
        <v>52</v>
      </c>
      <c r="S399" s="92" t="s">
        <v>53</v>
      </c>
    </row>
    <row r="400" ht="29" customHeight="1" spans="1:19">
      <c r="A400" s="20">
        <v>399</v>
      </c>
      <c r="B400" s="48" t="s">
        <v>1334</v>
      </c>
      <c r="C400" s="49" t="s">
        <v>236</v>
      </c>
      <c r="D400" s="49" t="s">
        <v>237</v>
      </c>
      <c r="E400" s="90" t="str">
        <f>VLOOKUP(D400,[1]省区匹配表!B:C,2,0)</f>
        <v>中</v>
      </c>
      <c r="F400" s="50">
        <v>45976</v>
      </c>
      <c r="G400" s="91">
        <v>11</v>
      </c>
      <c r="H400" s="53" t="s">
        <v>1335</v>
      </c>
      <c r="I400" s="53" t="s">
        <v>1121</v>
      </c>
      <c r="J400" s="26" t="s">
        <v>66</v>
      </c>
      <c r="K400" s="88" t="s">
        <v>1336</v>
      </c>
      <c r="L400" s="88" t="s">
        <v>51</v>
      </c>
      <c r="M400" s="88" t="s">
        <v>50</v>
      </c>
      <c r="N400" s="90" t="s">
        <v>108</v>
      </c>
      <c r="O400" s="92" t="s">
        <v>53</v>
      </c>
      <c r="P400" s="92" t="s">
        <v>52</v>
      </c>
      <c r="Q400" s="93"/>
      <c r="R400" s="92" t="s">
        <v>52</v>
      </c>
      <c r="S400" s="92" t="s">
        <v>53</v>
      </c>
    </row>
    <row r="401" ht="29" customHeight="1" spans="1:19">
      <c r="A401" s="20">
        <v>400</v>
      </c>
      <c r="B401" s="48" t="s">
        <v>1337</v>
      </c>
      <c r="C401" s="49" t="s">
        <v>197</v>
      </c>
      <c r="D401" s="49" t="s">
        <v>103</v>
      </c>
      <c r="E401" s="90" t="str">
        <f>VLOOKUP(D401,[1]省区匹配表!B:C,2,0)</f>
        <v>中</v>
      </c>
      <c r="F401" s="50">
        <v>45978</v>
      </c>
      <c r="G401" s="91">
        <v>11</v>
      </c>
      <c r="H401" s="53" t="s">
        <v>1338</v>
      </c>
      <c r="I401" s="53" t="s">
        <v>1339</v>
      </c>
      <c r="J401" s="26" t="s">
        <v>158</v>
      </c>
      <c r="K401" s="88" t="s">
        <v>1095</v>
      </c>
      <c r="L401" s="88" t="s">
        <v>60</v>
      </c>
      <c r="M401" s="88" t="s">
        <v>50</v>
      </c>
      <c r="N401" s="90">
        <v>6500</v>
      </c>
      <c r="O401" s="92" t="s">
        <v>52</v>
      </c>
      <c r="P401" s="92" t="s">
        <v>52</v>
      </c>
      <c r="Q401" s="93"/>
      <c r="R401" s="92" t="s">
        <v>52</v>
      </c>
      <c r="S401" s="92" t="s">
        <v>52</v>
      </c>
    </row>
    <row r="402" ht="29" customHeight="1" spans="1:19">
      <c r="A402" s="20">
        <v>401</v>
      </c>
      <c r="B402" s="48" t="s">
        <v>1340</v>
      </c>
      <c r="C402" s="49" t="s">
        <v>172</v>
      </c>
      <c r="D402" s="49" t="s">
        <v>155</v>
      </c>
      <c r="E402" s="90" t="str">
        <f>VLOOKUP(D402,[1]省区匹配表!B:C,2,0)</f>
        <v>中</v>
      </c>
      <c r="F402" s="50">
        <v>45978</v>
      </c>
      <c r="G402" s="91">
        <v>11</v>
      </c>
      <c r="H402" s="53" t="s">
        <v>1341</v>
      </c>
      <c r="I402" s="53" t="s">
        <v>1342</v>
      </c>
      <c r="J402" s="26" t="s">
        <v>66</v>
      </c>
      <c r="K402" s="88" t="s">
        <v>1336</v>
      </c>
      <c r="L402" s="88" t="s">
        <v>51</v>
      </c>
      <c r="M402" s="88" t="s">
        <v>50</v>
      </c>
      <c r="N402" s="90">
        <v>20000</v>
      </c>
      <c r="O402" s="92" t="s">
        <v>53</v>
      </c>
      <c r="P402" s="92" t="s">
        <v>52</v>
      </c>
      <c r="Q402" s="93"/>
      <c r="R402" s="92" t="s">
        <v>52</v>
      </c>
      <c r="S402" s="92" t="s">
        <v>52</v>
      </c>
    </row>
    <row r="403" ht="29" customHeight="1" spans="1:19">
      <c r="A403" s="20">
        <v>402</v>
      </c>
      <c r="B403" s="48" t="s">
        <v>1343</v>
      </c>
      <c r="C403" s="49" t="s">
        <v>486</v>
      </c>
      <c r="D403" s="49" t="s">
        <v>237</v>
      </c>
      <c r="E403" s="90" t="str">
        <f>VLOOKUP(D403,[1]省区匹配表!B:C,2,0)</f>
        <v>中</v>
      </c>
      <c r="F403" s="50">
        <v>45978</v>
      </c>
      <c r="G403" s="91">
        <v>11</v>
      </c>
      <c r="H403" s="53" t="s">
        <v>1344</v>
      </c>
      <c r="I403" s="53" t="s">
        <v>1345</v>
      </c>
      <c r="J403" s="26" t="s">
        <v>127</v>
      </c>
      <c r="K403" s="88" t="s">
        <v>1166</v>
      </c>
      <c r="L403" s="88" t="s">
        <v>51</v>
      </c>
      <c r="M403" s="88" t="s">
        <v>50</v>
      </c>
      <c r="N403" s="90" t="s">
        <v>108</v>
      </c>
      <c r="O403" s="92" t="s">
        <v>53</v>
      </c>
      <c r="P403" s="92" t="s">
        <v>52</v>
      </c>
      <c r="Q403" s="93"/>
      <c r="R403" s="92" t="s">
        <v>52</v>
      </c>
      <c r="S403" s="92" t="s">
        <v>52</v>
      </c>
    </row>
    <row r="404" ht="29" customHeight="1" spans="1:19">
      <c r="A404" s="20">
        <v>403</v>
      </c>
      <c r="B404" s="48" t="s">
        <v>1346</v>
      </c>
      <c r="C404" s="49" t="s">
        <v>486</v>
      </c>
      <c r="D404" s="49" t="s">
        <v>237</v>
      </c>
      <c r="E404" s="90" t="str">
        <f>VLOOKUP(D404,[1]省区匹配表!B:C,2,0)</f>
        <v>中</v>
      </c>
      <c r="F404" s="50">
        <v>45978</v>
      </c>
      <c r="G404" s="91">
        <v>11</v>
      </c>
      <c r="H404" s="53" t="s">
        <v>1347</v>
      </c>
      <c r="I404" s="53" t="s">
        <v>1348</v>
      </c>
      <c r="J404" s="26" t="s">
        <v>234</v>
      </c>
      <c r="K404" s="88" t="s">
        <v>1166</v>
      </c>
      <c r="L404" s="88" t="s">
        <v>51</v>
      </c>
      <c r="M404" s="88" t="s">
        <v>50</v>
      </c>
      <c r="N404" s="90" t="s">
        <v>108</v>
      </c>
      <c r="O404" s="92" t="s">
        <v>53</v>
      </c>
      <c r="P404" s="92" t="s">
        <v>52</v>
      </c>
      <c r="Q404" s="93"/>
      <c r="R404" s="92" t="s">
        <v>52</v>
      </c>
      <c r="S404" s="92" t="s">
        <v>52</v>
      </c>
    </row>
    <row r="405" ht="29" customHeight="1" spans="1:19">
      <c r="A405" s="20">
        <v>404</v>
      </c>
      <c r="B405" s="48" t="s">
        <v>1349</v>
      </c>
      <c r="C405" s="49" t="s">
        <v>619</v>
      </c>
      <c r="D405" s="49" t="s">
        <v>416</v>
      </c>
      <c r="E405" s="90" t="str">
        <f>VLOOKUP(D405,[1]省区匹配表!B:C,2,0)</f>
        <v>南</v>
      </c>
      <c r="F405" s="50">
        <v>45978</v>
      </c>
      <c r="G405" s="91">
        <v>11</v>
      </c>
      <c r="H405" s="53" t="s">
        <v>1350</v>
      </c>
      <c r="I405" s="53" t="s">
        <v>1351</v>
      </c>
      <c r="J405" s="26" t="s">
        <v>106</v>
      </c>
      <c r="K405" s="88" t="s">
        <v>1113</v>
      </c>
      <c r="L405" s="88" t="s">
        <v>107</v>
      </c>
      <c r="M405" s="88" t="s">
        <v>107</v>
      </c>
      <c r="N405" s="90" t="s">
        <v>108</v>
      </c>
      <c r="O405" s="92" t="s">
        <v>53</v>
      </c>
      <c r="P405" s="92" t="s">
        <v>53</v>
      </c>
      <c r="Q405" s="93"/>
      <c r="R405" s="92" t="s">
        <v>52</v>
      </c>
      <c r="S405" s="92" t="s">
        <v>53</v>
      </c>
    </row>
    <row r="406" ht="29" customHeight="1" spans="1:19">
      <c r="A406" s="20">
        <v>405</v>
      </c>
      <c r="B406" s="48" t="s">
        <v>1352</v>
      </c>
      <c r="C406" s="49" t="s">
        <v>197</v>
      </c>
      <c r="D406" s="49" t="s">
        <v>103</v>
      </c>
      <c r="E406" s="90" t="str">
        <f>VLOOKUP(D406,[1]省区匹配表!B:C,2,0)</f>
        <v>中</v>
      </c>
      <c r="F406" s="50">
        <v>45979</v>
      </c>
      <c r="G406" s="91">
        <v>11</v>
      </c>
      <c r="H406" s="53" t="s">
        <v>1353</v>
      </c>
      <c r="I406" s="53" t="s">
        <v>1354</v>
      </c>
      <c r="J406" s="26" t="s">
        <v>66</v>
      </c>
      <c r="K406" s="88" t="s">
        <v>1336</v>
      </c>
      <c r="L406" s="88" t="s">
        <v>51</v>
      </c>
      <c r="M406" s="88" t="s">
        <v>50</v>
      </c>
      <c r="N406" s="90"/>
      <c r="O406" s="92" t="s">
        <v>53</v>
      </c>
      <c r="P406" s="92" t="s">
        <v>52</v>
      </c>
      <c r="Q406" s="93"/>
      <c r="R406" s="92" t="s">
        <v>52</v>
      </c>
      <c r="S406" s="92" t="s">
        <v>53</v>
      </c>
    </row>
    <row r="407" ht="29" customHeight="1" spans="1:19">
      <c r="A407" s="20">
        <v>406</v>
      </c>
      <c r="B407" s="48" t="s">
        <v>1355</v>
      </c>
      <c r="C407" s="49" t="s">
        <v>886</v>
      </c>
      <c r="D407" s="49" t="s">
        <v>115</v>
      </c>
      <c r="E407" s="90" t="str">
        <f>VLOOKUP(D407,[1]省区匹配表!B:C,2,0)</f>
        <v>北</v>
      </c>
      <c r="F407" s="50">
        <v>45980</v>
      </c>
      <c r="G407" s="91">
        <v>11</v>
      </c>
      <c r="H407" s="53" t="s">
        <v>1356</v>
      </c>
      <c r="I407" s="53" t="s">
        <v>520</v>
      </c>
      <c r="J407" s="26" t="s">
        <v>66</v>
      </c>
      <c r="K407" s="88" t="s">
        <v>1091</v>
      </c>
      <c r="L407" s="88" t="s">
        <v>51</v>
      </c>
      <c r="M407" s="88" t="s">
        <v>50</v>
      </c>
      <c r="N407" s="90">
        <v>1900</v>
      </c>
      <c r="O407" s="92" t="s">
        <v>53</v>
      </c>
      <c r="P407" s="92" t="s">
        <v>52</v>
      </c>
      <c r="Q407" s="93"/>
      <c r="R407" s="92" t="s">
        <v>52</v>
      </c>
      <c r="S407" s="92" t="s">
        <v>52</v>
      </c>
    </row>
    <row r="408" ht="29" customHeight="1" spans="1:19">
      <c r="A408" s="20">
        <v>407</v>
      </c>
      <c r="B408" s="48" t="s">
        <v>1357</v>
      </c>
      <c r="C408" s="49" t="s">
        <v>236</v>
      </c>
      <c r="D408" s="49" t="s">
        <v>237</v>
      </c>
      <c r="E408" s="90" t="str">
        <f>VLOOKUP(D408,[1]省区匹配表!B:C,2,0)</f>
        <v>中</v>
      </c>
      <c r="F408" s="50">
        <v>45980</v>
      </c>
      <c r="G408" s="91">
        <v>11</v>
      </c>
      <c r="H408" s="53" t="s">
        <v>1358</v>
      </c>
      <c r="I408" s="53" t="s">
        <v>1359</v>
      </c>
      <c r="J408" s="26" t="s">
        <v>106</v>
      </c>
      <c r="K408" s="88" t="s">
        <v>1113</v>
      </c>
      <c r="L408" s="88" t="s">
        <v>107</v>
      </c>
      <c r="M408" s="88" t="s">
        <v>107</v>
      </c>
      <c r="N408" s="90">
        <v>1000</v>
      </c>
      <c r="O408" s="92" t="s">
        <v>53</v>
      </c>
      <c r="P408" s="92" t="s">
        <v>53</v>
      </c>
      <c r="Q408" s="93"/>
      <c r="R408" s="92" t="s">
        <v>52</v>
      </c>
      <c r="S408" s="92" t="s">
        <v>53</v>
      </c>
    </row>
    <row r="409" ht="29" customHeight="1" spans="1:19">
      <c r="A409" s="20">
        <v>408</v>
      </c>
      <c r="B409" s="48" t="s">
        <v>1360</v>
      </c>
      <c r="C409" s="49" t="s">
        <v>160</v>
      </c>
      <c r="D409" s="49" t="s">
        <v>103</v>
      </c>
      <c r="E409" s="90" t="str">
        <f>VLOOKUP(D409,[1]省区匹配表!B:C,2,0)</f>
        <v>中</v>
      </c>
      <c r="F409" s="50">
        <v>45981</v>
      </c>
      <c r="G409" s="91">
        <v>11</v>
      </c>
      <c r="H409" s="53" t="s">
        <v>1361</v>
      </c>
      <c r="I409" s="53" t="s">
        <v>1362</v>
      </c>
      <c r="J409" s="26" t="s">
        <v>66</v>
      </c>
      <c r="K409" s="88" t="s">
        <v>1091</v>
      </c>
      <c r="L409" s="88" t="s">
        <v>51</v>
      </c>
      <c r="M409" s="88" t="s">
        <v>50</v>
      </c>
      <c r="N409" s="90">
        <v>3000</v>
      </c>
      <c r="O409" s="92" t="s">
        <v>53</v>
      </c>
      <c r="P409" s="92" t="s">
        <v>53</v>
      </c>
      <c r="Q409" s="93"/>
      <c r="R409" s="92" t="s">
        <v>52</v>
      </c>
      <c r="S409" s="92" t="s">
        <v>53</v>
      </c>
    </row>
    <row r="410" ht="29" customHeight="1" spans="1:19">
      <c r="A410" s="20">
        <v>409</v>
      </c>
      <c r="B410" s="48" t="s">
        <v>1363</v>
      </c>
      <c r="C410" s="49" t="s">
        <v>955</v>
      </c>
      <c r="D410" s="49" t="s">
        <v>237</v>
      </c>
      <c r="E410" s="90" t="str">
        <f>VLOOKUP(D410,[1]省区匹配表!B:C,2,0)</f>
        <v>中</v>
      </c>
      <c r="F410" s="50">
        <v>45981</v>
      </c>
      <c r="G410" s="91">
        <v>11</v>
      </c>
      <c r="H410" s="53" t="s">
        <v>1364</v>
      </c>
      <c r="I410" s="53" t="s">
        <v>1365</v>
      </c>
      <c r="J410" s="26" t="s">
        <v>66</v>
      </c>
      <c r="K410" s="88" t="s">
        <v>1336</v>
      </c>
      <c r="L410" s="88" t="s">
        <v>51</v>
      </c>
      <c r="M410" s="88" t="s">
        <v>50</v>
      </c>
      <c r="N410" s="90">
        <v>15000</v>
      </c>
      <c r="O410" s="92" t="s">
        <v>53</v>
      </c>
      <c r="P410" s="92" t="s">
        <v>52</v>
      </c>
      <c r="Q410" s="93"/>
      <c r="R410" s="92" t="s">
        <v>52</v>
      </c>
      <c r="S410" s="92" t="s">
        <v>52</v>
      </c>
    </row>
    <row r="411" ht="29" customHeight="1" spans="1:19">
      <c r="A411" s="20">
        <v>410</v>
      </c>
      <c r="B411" s="66" t="s">
        <v>1366</v>
      </c>
      <c r="C411" s="49" t="s">
        <v>123</v>
      </c>
      <c r="D411" s="49" t="s">
        <v>124</v>
      </c>
      <c r="E411" s="90" t="str">
        <f>VLOOKUP(D411,[1]省区匹配表!B:C,2,0)</f>
        <v>南</v>
      </c>
      <c r="F411" s="50">
        <v>45982</v>
      </c>
      <c r="G411" s="91">
        <v>11</v>
      </c>
      <c r="H411" s="53" t="s">
        <v>1367</v>
      </c>
      <c r="I411" s="53" t="s">
        <v>1368</v>
      </c>
      <c r="J411" s="26" t="s">
        <v>106</v>
      </c>
      <c r="K411" s="88" t="s">
        <v>1113</v>
      </c>
      <c r="L411" s="88" t="s">
        <v>107</v>
      </c>
      <c r="M411" s="88" t="s">
        <v>107</v>
      </c>
      <c r="N411" s="90">
        <v>10000</v>
      </c>
      <c r="O411" s="92" t="s">
        <v>53</v>
      </c>
      <c r="P411" s="92" t="s">
        <v>53</v>
      </c>
      <c r="Q411" s="93"/>
      <c r="R411" s="92" t="s">
        <v>52</v>
      </c>
      <c r="S411" s="92" t="s">
        <v>52</v>
      </c>
    </row>
    <row r="412" ht="29" customHeight="1" spans="1:19">
      <c r="A412" s="20">
        <v>411</v>
      </c>
      <c r="B412" s="48" t="s">
        <v>1369</v>
      </c>
      <c r="C412" s="49" t="s">
        <v>292</v>
      </c>
      <c r="D412" s="49" t="s">
        <v>46</v>
      </c>
      <c r="E412" s="90" t="str">
        <f>VLOOKUP(D412,[1]省区匹配表!B:C,2,0)</f>
        <v>南</v>
      </c>
      <c r="F412" s="50">
        <v>45983</v>
      </c>
      <c r="G412" s="91">
        <v>11</v>
      </c>
      <c r="H412" s="53" t="s">
        <v>1370</v>
      </c>
      <c r="I412" s="53" t="s">
        <v>584</v>
      </c>
      <c r="J412" s="26" t="s">
        <v>106</v>
      </c>
      <c r="K412" s="88" t="s">
        <v>1113</v>
      </c>
      <c r="L412" s="88" t="s">
        <v>107</v>
      </c>
      <c r="M412" s="88" t="s">
        <v>107</v>
      </c>
      <c r="N412" s="90" t="s">
        <v>108</v>
      </c>
      <c r="O412" s="92" t="s">
        <v>53</v>
      </c>
      <c r="P412" s="92" t="s">
        <v>53</v>
      </c>
      <c r="Q412" s="93"/>
      <c r="R412" s="92" t="s">
        <v>52</v>
      </c>
      <c r="S412" s="92" t="s">
        <v>53</v>
      </c>
    </row>
    <row r="413" ht="29" customHeight="1" spans="1:19">
      <c r="A413" s="20">
        <v>412</v>
      </c>
      <c r="B413" s="48" t="s">
        <v>1371</v>
      </c>
      <c r="C413" s="49" t="s">
        <v>197</v>
      </c>
      <c r="D413" s="49" t="s">
        <v>103</v>
      </c>
      <c r="E413" s="90" t="str">
        <f>VLOOKUP(D413,[1]省区匹配表!B:C,2,0)</f>
        <v>中</v>
      </c>
      <c r="F413" s="50">
        <v>45983</v>
      </c>
      <c r="G413" s="91">
        <v>11</v>
      </c>
      <c r="H413" s="53" t="s">
        <v>1372</v>
      </c>
      <c r="I413" s="53" t="s">
        <v>1373</v>
      </c>
      <c r="J413" s="26" t="s">
        <v>66</v>
      </c>
      <c r="K413" s="88" t="s">
        <v>1374</v>
      </c>
      <c r="L413" s="88" t="s">
        <v>60</v>
      </c>
      <c r="M413" s="88" t="s">
        <v>50</v>
      </c>
      <c r="N413" s="90"/>
      <c r="O413" s="92" t="s">
        <v>53</v>
      </c>
      <c r="P413" s="92" t="s">
        <v>52</v>
      </c>
      <c r="Q413" s="93"/>
      <c r="R413" s="92" t="s">
        <v>52</v>
      </c>
      <c r="S413" s="92" t="s">
        <v>52</v>
      </c>
    </row>
    <row r="414" ht="29" customHeight="1" spans="1:19">
      <c r="A414" s="20">
        <v>413</v>
      </c>
      <c r="B414" s="48" t="s">
        <v>1375</v>
      </c>
      <c r="C414" s="49" t="s">
        <v>302</v>
      </c>
      <c r="D414" s="49" t="s">
        <v>124</v>
      </c>
      <c r="E414" s="90" t="str">
        <f>VLOOKUP(D414,[1]省区匹配表!B:C,2,0)</f>
        <v>南</v>
      </c>
      <c r="F414" s="50">
        <v>45984</v>
      </c>
      <c r="G414" s="91">
        <v>11</v>
      </c>
      <c r="H414" s="53" t="s">
        <v>1376</v>
      </c>
      <c r="I414" s="53" t="s">
        <v>1377</v>
      </c>
      <c r="J414" s="26" t="s">
        <v>66</v>
      </c>
      <c r="K414" s="88" t="s">
        <v>1136</v>
      </c>
      <c r="L414" s="88" t="s">
        <v>60</v>
      </c>
      <c r="M414" s="88" t="s">
        <v>50</v>
      </c>
      <c r="N414" s="90">
        <v>1500</v>
      </c>
      <c r="O414" s="92" t="s">
        <v>52</v>
      </c>
      <c r="P414" s="92" t="s">
        <v>52</v>
      </c>
      <c r="Q414" s="93"/>
      <c r="R414" s="92" t="s">
        <v>52</v>
      </c>
      <c r="S414" s="92" t="s">
        <v>53</v>
      </c>
    </row>
    <row r="415" ht="29" customHeight="1" spans="1:19">
      <c r="A415" s="20">
        <v>414</v>
      </c>
      <c r="B415" s="48" t="s">
        <v>1378</v>
      </c>
      <c r="C415" s="49" t="s">
        <v>236</v>
      </c>
      <c r="D415" s="49" t="s">
        <v>237</v>
      </c>
      <c r="E415" s="90" t="str">
        <f>VLOOKUP(D415,[1]省区匹配表!B:C,2,0)</f>
        <v>中</v>
      </c>
      <c r="F415" s="50">
        <v>45985</v>
      </c>
      <c r="G415" s="91">
        <v>11</v>
      </c>
      <c r="H415" s="53" t="s">
        <v>1379</v>
      </c>
      <c r="I415" s="53" t="s">
        <v>1380</v>
      </c>
      <c r="J415" s="26" t="s">
        <v>66</v>
      </c>
      <c r="K415" s="88" t="s">
        <v>1336</v>
      </c>
      <c r="L415" s="88" t="s">
        <v>51</v>
      </c>
      <c r="M415" s="88" t="s">
        <v>50</v>
      </c>
      <c r="N415" s="90">
        <v>1000</v>
      </c>
      <c r="O415" s="92" t="s">
        <v>53</v>
      </c>
      <c r="P415" s="92" t="s">
        <v>52</v>
      </c>
      <c r="Q415" s="93"/>
      <c r="R415" s="92" t="s">
        <v>52</v>
      </c>
      <c r="S415" s="92" t="s">
        <v>53</v>
      </c>
    </row>
    <row r="416" ht="29" customHeight="1" spans="1:19">
      <c r="A416" s="20">
        <v>415</v>
      </c>
      <c r="B416" s="94" t="s">
        <v>1381</v>
      </c>
      <c r="C416" s="90" t="s">
        <v>1382</v>
      </c>
      <c r="D416" s="90" t="s">
        <v>124</v>
      </c>
      <c r="E416" s="90" t="s">
        <v>529</v>
      </c>
      <c r="F416" s="95">
        <v>45985</v>
      </c>
      <c r="G416" s="91">
        <v>11</v>
      </c>
      <c r="H416" s="96" t="s">
        <v>1383</v>
      </c>
      <c r="I416" s="96" t="s">
        <v>152</v>
      </c>
      <c r="J416" s="26" t="s">
        <v>158</v>
      </c>
      <c r="K416" s="88" t="s">
        <v>1095</v>
      </c>
      <c r="L416" s="88" t="s">
        <v>60</v>
      </c>
      <c r="M416" s="88" t="s">
        <v>50</v>
      </c>
      <c r="N416" s="90"/>
      <c r="O416" s="92" t="s">
        <v>52</v>
      </c>
      <c r="P416" s="92" t="s">
        <v>52</v>
      </c>
      <c r="Q416" s="93"/>
      <c r="R416" s="92" t="s">
        <v>53</v>
      </c>
      <c r="S416" s="92" t="s">
        <v>52</v>
      </c>
    </row>
    <row r="417" ht="29" customHeight="1" spans="1:19">
      <c r="A417" s="20">
        <v>416</v>
      </c>
      <c r="B417" s="48" t="s">
        <v>1384</v>
      </c>
      <c r="C417" s="49" t="s">
        <v>68</v>
      </c>
      <c r="D417" s="49" t="s">
        <v>69</v>
      </c>
      <c r="E417" s="90" t="str">
        <f>VLOOKUP(D417,[1]省区匹配表!B:C,2,0)</f>
        <v>南</v>
      </c>
      <c r="F417" s="50">
        <v>45986</v>
      </c>
      <c r="G417" s="91">
        <v>11</v>
      </c>
      <c r="H417" s="53" t="s">
        <v>1385</v>
      </c>
      <c r="I417" s="53" t="s">
        <v>1386</v>
      </c>
      <c r="J417" s="26" t="s">
        <v>59</v>
      </c>
      <c r="K417" s="88" t="s">
        <v>1387</v>
      </c>
      <c r="L417" s="88" t="s">
        <v>60</v>
      </c>
      <c r="M417" s="88" t="s">
        <v>50</v>
      </c>
      <c r="N417" s="90"/>
      <c r="O417" s="92" t="s">
        <v>52</v>
      </c>
      <c r="P417" s="92" t="s">
        <v>52</v>
      </c>
      <c r="Q417" s="93"/>
      <c r="R417" s="92" t="s">
        <v>52</v>
      </c>
      <c r="S417" s="92" t="s">
        <v>52</v>
      </c>
    </row>
    <row r="418" ht="29" customHeight="1" spans="1:19">
      <c r="A418" s="20">
        <v>417</v>
      </c>
      <c r="B418" s="48" t="s">
        <v>1388</v>
      </c>
      <c r="C418" s="49" t="s">
        <v>955</v>
      </c>
      <c r="D418" s="49" t="s">
        <v>237</v>
      </c>
      <c r="E418" s="90" t="str">
        <f>VLOOKUP(D418,[1]省区匹配表!B:C,2,0)</f>
        <v>中</v>
      </c>
      <c r="F418" s="50">
        <v>45986</v>
      </c>
      <c r="G418" s="91">
        <v>11</v>
      </c>
      <c r="H418" s="53" t="s">
        <v>1389</v>
      </c>
      <c r="I418" s="53" t="s">
        <v>1390</v>
      </c>
      <c r="J418" s="26" t="s">
        <v>158</v>
      </c>
      <c r="K418" s="88" t="s">
        <v>1095</v>
      </c>
      <c r="L418" s="88" t="s">
        <v>60</v>
      </c>
      <c r="M418" s="88" t="s">
        <v>50</v>
      </c>
      <c r="N418" s="90"/>
      <c r="O418" s="92" t="s">
        <v>52</v>
      </c>
      <c r="P418" s="92" t="s">
        <v>52</v>
      </c>
      <c r="Q418" s="93"/>
      <c r="R418" s="92" t="s">
        <v>52</v>
      </c>
      <c r="S418" s="92" t="s">
        <v>52</v>
      </c>
    </row>
    <row r="419" ht="29" customHeight="1" spans="1:19">
      <c r="A419" s="20">
        <v>418</v>
      </c>
      <c r="B419" s="48" t="s">
        <v>1391</v>
      </c>
      <c r="C419" s="49" t="s">
        <v>123</v>
      </c>
      <c r="D419" s="49" t="s">
        <v>124</v>
      </c>
      <c r="E419" s="90" t="str">
        <f>VLOOKUP(D419,[1]省区匹配表!B:C,2,0)</f>
        <v>南</v>
      </c>
      <c r="F419" s="50">
        <v>45986</v>
      </c>
      <c r="G419" s="91">
        <v>11</v>
      </c>
      <c r="H419" s="53" t="s">
        <v>1392</v>
      </c>
      <c r="I419" s="53" t="s">
        <v>1393</v>
      </c>
      <c r="J419" s="26" t="s">
        <v>59</v>
      </c>
      <c r="K419" s="88" t="s">
        <v>1127</v>
      </c>
      <c r="L419" s="88" t="s">
        <v>60</v>
      </c>
      <c r="M419" s="88" t="s">
        <v>50</v>
      </c>
      <c r="N419" s="90"/>
      <c r="O419" s="92" t="s">
        <v>52</v>
      </c>
      <c r="P419" s="92" t="s">
        <v>52</v>
      </c>
      <c r="Q419" s="93"/>
      <c r="R419" s="92" t="s">
        <v>52</v>
      </c>
      <c r="S419" s="92" t="s">
        <v>52</v>
      </c>
    </row>
    <row r="420" ht="29" customHeight="1" spans="1:19">
      <c r="A420" s="20">
        <v>419</v>
      </c>
      <c r="B420" s="99" t="s">
        <v>1394</v>
      </c>
      <c r="C420" s="90" t="s">
        <v>372</v>
      </c>
      <c r="D420" s="90" t="s">
        <v>373</v>
      </c>
      <c r="E420" s="90" t="s">
        <v>462</v>
      </c>
      <c r="F420" s="95">
        <v>45986</v>
      </c>
      <c r="G420" s="91">
        <v>11</v>
      </c>
      <c r="H420" s="71" t="s">
        <v>1395</v>
      </c>
      <c r="I420" s="96"/>
      <c r="J420" s="26" t="s">
        <v>325</v>
      </c>
      <c r="K420" s="88" t="s">
        <v>1100</v>
      </c>
      <c r="L420" s="88" t="s">
        <v>107</v>
      </c>
      <c r="M420" s="88" t="s">
        <v>107</v>
      </c>
      <c r="N420" s="90"/>
      <c r="O420" s="92" t="s">
        <v>53</v>
      </c>
      <c r="P420" s="92" t="s">
        <v>53</v>
      </c>
      <c r="Q420" s="93"/>
      <c r="R420" s="92" t="s">
        <v>53</v>
      </c>
      <c r="S420" s="92" t="s">
        <v>52</v>
      </c>
    </row>
    <row r="421" ht="29" customHeight="1" spans="1:19">
      <c r="A421" s="20">
        <v>420</v>
      </c>
      <c r="B421" s="48" t="s">
        <v>1396</v>
      </c>
      <c r="C421" s="49" t="s">
        <v>236</v>
      </c>
      <c r="D421" s="49" t="s">
        <v>237</v>
      </c>
      <c r="E421" s="90" t="str">
        <f>VLOOKUP(D421,[1]省区匹配表!B:C,2,0)</f>
        <v>中</v>
      </c>
      <c r="F421" s="50">
        <v>45987</v>
      </c>
      <c r="G421" s="91">
        <v>11</v>
      </c>
      <c r="H421" s="53" t="s">
        <v>1397</v>
      </c>
      <c r="I421" s="53" t="s">
        <v>464</v>
      </c>
      <c r="J421" s="26" t="s">
        <v>127</v>
      </c>
      <c r="K421" s="88" t="s">
        <v>1181</v>
      </c>
      <c r="L421" s="88" t="s">
        <v>107</v>
      </c>
      <c r="M421" s="88" t="s">
        <v>107</v>
      </c>
      <c r="N421" s="90">
        <v>1000</v>
      </c>
      <c r="O421" s="92" t="s">
        <v>53</v>
      </c>
      <c r="P421" s="92" t="s">
        <v>52</v>
      </c>
      <c r="Q421" s="93"/>
      <c r="R421" s="92" t="s">
        <v>52</v>
      </c>
      <c r="S421" s="92" t="s">
        <v>53</v>
      </c>
    </row>
    <row r="422" ht="29" customHeight="1" spans="1:19">
      <c r="A422" s="20">
        <v>421</v>
      </c>
      <c r="B422" s="48" t="s">
        <v>1398</v>
      </c>
      <c r="C422" s="49" t="s">
        <v>1399</v>
      </c>
      <c r="D422" s="49" t="s">
        <v>373</v>
      </c>
      <c r="E422" s="90" t="str">
        <f>VLOOKUP(D422,[1]省区匹配表!B:C,2,0)</f>
        <v>中</v>
      </c>
      <c r="F422" s="50">
        <v>45987</v>
      </c>
      <c r="G422" s="91">
        <v>11</v>
      </c>
      <c r="H422" s="53" t="s">
        <v>1400</v>
      </c>
      <c r="I422" s="53" t="s">
        <v>1401</v>
      </c>
      <c r="J422" s="26" t="s">
        <v>66</v>
      </c>
      <c r="K422" s="88" t="s">
        <v>1402</v>
      </c>
      <c r="L422" s="88" t="s">
        <v>51</v>
      </c>
      <c r="M422" s="88" t="s">
        <v>50</v>
      </c>
      <c r="N422" s="90">
        <v>1800</v>
      </c>
      <c r="O422" s="92" t="s">
        <v>53</v>
      </c>
      <c r="P422" s="92" t="s">
        <v>52</v>
      </c>
      <c r="Q422" s="93"/>
      <c r="R422" s="92" t="s">
        <v>52</v>
      </c>
      <c r="S422" s="92" t="s">
        <v>53</v>
      </c>
    </row>
    <row r="423" ht="29" customHeight="1" spans="1:19">
      <c r="A423" s="20">
        <v>422</v>
      </c>
      <c r="B423" s="48" t="s">
        <v>1403</v>
      </c>
      <c r="C423" s="49" t="s">
        <v>79</v>
      </c>
      <c r="D423" s="49" t="s">
        <v>80</v>
      </c>
      <c r="E423" s="90" t="str">
        <f>VLOOKUP(D423,[1]省区匹配表!B:C,2,0)</f>
        <v>中</v>
      </c>
      <c r="F423" s="50">
        <v>45987</v>
      </c>
      <c r="G423" s="91">
        <v>11</v>
      </c>
      <c r="H423" s="53" t="s">
        <v>1404</v>
      </c>
      <c r="I423" s="53" t="s">
        <v>562</v>
      </c>
      <c r="J423" s="26" t="s">
        <v>106</v>
      </c>
      <c r="K423" s="88" t="s">
        <v>1113</v>
      </c>
      <c r="L423" s="88" t="s">
        <v>107</v>
      </c>
      <c r="M423" s="88" t="s">
        <v>107</v>
      </c>
      <c r="N423" s="90" t="s">
        <v>108</v>
      </c>
      <c r="O423" s="92" t="s">
        <v>53</v>
      </c>
      <c r="P423" s="92" t="s">
        <v>53</v>
      </c>
      <c r="Q423" s="93"/>
      <c r="R423" s="92" t="s">
        <v>52</v>
      </c>
      <c r="S423" s="92" t="s">
        <v>53</v>
      </c>
    </row>
    <row r="424" customFormat="1" ht="29" customHeight="1" spans="1:19">
      <c r="A424" s="20">
        <v>423</v>
      </c>
      <c r="B424" s="43" t="s">
        <v>1405</v>
      </c>
      <c r="C424" s="44" t="s">
        <v>642</v>
      </c>
      <c r="D424" s="52" t="s">
        <v>643</v>
      </c>
      <c r="E424" s="45" t="e">
        <f>VLOOKUP(D424,#REF!,2,0)</f>
        <v>#REF!</v>
      </c>
      <c r="F424" s="46">
        <v>45988</v>
      </c>
      <c r="G424" s="12">
        <v>12</v>
      </c>
      <c r="H424" s="47" t="s">
        <v>1406</v>
      </c>
      <c r="I424" s="47" t="s">
        <v>706</v>
      </c>
      <c r="J424" s="26" t="s">
        <v>325</v>
      </c>
      <c r="K424" s="88" t="s">
        <v>1100</v>
      </c>
      <c r="L424" s="88" t="s">
        <v>107</v>
      </c>
      <c r="M424" s="88" t="s">
        <v>107</v>
      </c>
      <c r="N424" s="90"/>
      <c r="O424" s="92" t="s">
        <v>53</v>
      </c>
      <c r="P424" s="92" t="s">
        <v>53</v>
      </c>
      <c r="Q424" s="93"/>
      <c r="R424" s="92" t="s">
        <v>52</v>
      </c>
      <c r="S424" s="28" t="s">
        <v>52</v>
      </c>
    </row>
    <row r="425" ht="29" customHeight="1" spans="1:19">
      <c r="A425" s="20">
        <v>424</v>
      </c>
      <c r="B425" s="48" t="s">
        <v>1407</v>
      </c>
      <c r="C425" s="100" t="s">
        <v>167</v>
      </c>
      <c r="D425" s="49" t="s">
        <v>74</v>
      </c>
      <c r="E425" s="101" t="str">
        <f>VLOOKUP(D425,[1]省区匹配表!B:C,2,0)</f>
        <v>中</v>
      </c>
      <c r="F425" s="50">
        <v>45989</v>
      </c>
      <c r="G425" s="91">
        <v>11</v>
      </c>
      <c r="H425" s="53" t="s">
        <v>1408</v>
      </c>
      <c r="I425" s="53" t="s">
        <v>1373</v>
      </c>
      <c r="J425" s="26" t="s">
        <v>66</v>
      </c>
      <c r="K425" s="88" t="s">
        <v>1091</v>
      </c>
      <c r="L425" s="88" t="s">
        <v>51</v>
      </c>
      <c r="M425" s="88" t="s">
        <v>50</v>
      </c>
      <c r="N425" s="90">
        <v>2000</v>
      </c>
      <c r="O425" s="92" t="s">
        <v>53</v>
      </c>
      <c r="P425" s="92" t="s">
        <v>52</v>
      </c>
      <c r="Q425" s="93"/>
      <c r="R425" s="92" t="s">
        <v>52</v>
      </c>
      <c r="S425" s="92" t="s">
        <v>53</v>
      </c>
    </row>
    <row r="426" ht="29" customHeight="1" spans="1:19">
      <c r="A426" s="20">
        <v>425</v>
      </c>
      <c r="B426" s="102" t="s">
        <v>1409</v>
      </c>
      <c r="C426" s="103" t="s">
        <v>1410</v>
      </c>
      <c r="D426" s="90" t="s">
        <v>124</v>
      </c>
      <c r="E426" s="101" t="s">
        <v>529</v>
      </c>
      <c r="F426" s="95">
        <v>45990</v>
      </c>
      <c r="G426" s="91">
        <v>11</v>
      </c>
      <c r="H426" s="96" t="s">
        <v>1411</v>
      </c>
      <c r="I426" s="96" t="s">
        <v>108</v>
      </c>
      <c r="J426" s="26" t="s">
        <v>106</v>
      </c>
      <c r="K426" s="88" t="s">
        <v>1113</v>
      </c>
      <c r="L426" s="88" t="s">
        <v>107</v>
      </c>
      <c r="M426" s="88" t="s">
        <v>107</v>
      </c>
      <c r="N426" s="90" t="s">
        <v>108</v>
      </c>
      <c r="O426" s="92" t="s">
        <v>53</v>
      </c>
      <c r="P426" s="92" t="s">
        <v>53</v>
      </c>
      <c r="Q426" s="93"/>
      <c r="R426" s="92" t="s">
        <v>53</v>
      </c>
      <c r="S426" s="92" t="s">
        <v>52</v>
      </c>
    </row>
    <row r="427" customFormat="1" ht="29" customHeight="1" spans="1:19">
      <c r="A427" s="20">
        <v>426</v>
      </c>
      <c r="B427" s="43" t="s">
        <v>1412</v>
      </c>
      <c r="C427" s="49" t="s">
        <v>236</v>
      </c>
      <c r="D427" s="52" t="s">
        <v>237</v>
      </c>
      <c r="E427" s="52" t="e">
        <f>VLOOKUP(D427,#REF!,2,0)</f>
        <v>#REF!</v>
      </c>
      <c r="F427" s="46">
        <v>45990</v>
      </c>
      <c r="G427" s="12">
        <v>12</v>
      </c>
      <c r="H427" s="47" t="s">
        <v>1413</v>
      </c>
      <c r="I427" s="47" t="s">
        <v>520</v>
      </c>
      <c r="J427" s="26" t="s">
        <v>106</v>
      </c>
      <c r="K427" s="88" t="s">
        <v>1113</v>
      </c>
      <c r="L427" s="88" t="s">
        <v>107</v>
      </c>
      <c r="M427" s="88" t="s">
        <v>107</v>
      </c>
      <c r="N427" s="90" t="s">
        <v>108</v>
      </c>
      <c r="O427" s="92" t="s">
        <v>52</v>
      </c>
      <c r="P427" s="92" t="s">
        <v>52</v>
      </c>
    </row>
    <row r="428" ht="29" customHeight="1" spans="1:19">
      <c r="A428" s="20">
        <v>427</v>
      </c>
      <c r="B428" s="94" t="s">
        <v>1414</v>
      </c>
      <c r="C428" s="90" t="s">
        <v>1415</v>
      </c>
      <c r="D428" s="90" t="s">
        <v>458</v>
      </c>
      <c r="E428" s="90" t="s">
        <v>462</v>
      </c>
      <c r="F428" s="50">
        <v>45991</v>
      </c>
      <c r="G428" s="91">
        <v>11</v>
      </c>
      <c r="H428" s="96" t="s">
        <v>1416</v>
      </c>
      <c r="I428" s="96" t="s">
        <v>108</v>
      </c>
      <c r="J428" s="26" t="s">
        <v>700</v>
      </c>
      <c r="K428" s="88" t="s">
        <v>1113</v>
      </c>
      <c r="L428" s="88" t="s">
        <v>107</v>
      </c>
      <c r="M428" s="88" t="s">
        <v>107</v>
      </c>
      <c r="N428" s="90" t="s">
        <v>108</v>
      </c>
      <c r="O428" s="92" t="s">
        <v>53</v>
      </c>
      <c r="P428" s="92" t="s">
        <v>53</v>
      </c>
      <c r="Q428" s="93"/>
      <c r="R428" s="92" t="s">
        <v>53</v>
      </c>
      <c r="S428" s="92" t="s">
        <v>52</v>
      </c>
    </row>
    <row r="429" ht="29" customHeight="1" spans="1:19">
      <c r="A429" s="20">
        <v>428</v>
      </c>
      <c r="B429" s="26" t="s">
        <v>1417</v>
      </c>
      <c r="C429" s="26" t="s">
        <v>102</v>
      </c>
      <c r="D429" s="27" t="s">
        <v>103</v>
      </c>
      <c r="E429" s="28" t="e">
        <f>VLOOKUP(D429,#REF!,2,0)</f>
        <v>#REF!</v>
      </c>
      <c r="F429" s="50">
        <v>45992</v>
      </c>
      <c r="G429" s="27">
        <v>12</v>
      </c>
      <c r="H429" s="67" t="s">
        <v>1418</v>
      </c>
      <c r="I429" s="67" t="s">
        <v>1419</v>
      </c>
      <c r="J429" s="26" t="s">
        <v>234</v>
      </c>
      <c r="K429" s="88" t="s">
        <v>1166</v>
      </c>
      <c r="L429" s="24" t="s">
        <v>51</v>
      </c>
      <c r="M429" s="30" t="s">
        <v>50</v>
      </c>
      <c r="N429" s="52">
        <v>5000</v>
      </c>
      <c r="O429" s="28" t="s">
        <v>53</v>
      </c>
      <c r="P429" s="28" t="s">
        <v>52</v>
      </c>
      <c r="Q429" s="28"/>
      <c r="R429" s="52" t="s">
        <v>52</v>
      </c>
      <c r="S429" s="52" t="s">
        <v>52</v>
      </c>
    </row>
    <row r="430" ht="29" customHeight="1" spans="1:19">
      <c r="A430" s="20">
        <v>429</v>
      </c>
      <c r="B430" s="26" t="s">
        <v>1420</v>
      </c>
      <c r="C430" s="26" t="s">
        <v>372</v>
      </c>
      <c r="D430" s="27" t="s">
        <v>373</v>
      </c>
      <c r="E430" s="28" t="e">
        <f>VLOOKUP(D430,#REF!,2,0)</f>
        <v>#REF!</v>
      </c>
      <c r="F430" s="50">
        <v>45993</v>
      </c>
      <c r="G430" s="27">
        <v>12</v>
      </c>
      <c r="H430" s="67" t="s">
        <v>1421</v>
      </c>
      <c r="I430" s="67" t="s">
        <v>1422</v>
      </c>
      <c r="J430" s="26" t="s">
        <v>66</v>
      </c>
      <c r="K430" s="24" t="s">
        <v>1423</v>
      </c>
      <c r="L430" s="30" t="s">
        <v>51</v>
      </c>
      <c r="M430" s="30" t="s">
        <v>50</v>
      </c>
      <c r="N430" s="52">
        <v>50000</v>
      </c>
      <c r="O430" s="28" t="s">
        <v>53</v>
      </c>
      <c r="P430" s="28" t="s">
        <v>52</v>
      </c>
      <c r="Q430" s="28"/>
      <c r="R430" s="52" t="s">
        <v>53</v>
      </c>
      <c r="S430" s="52" t="s">
        <v>52</v>
      </c>
    </row>
    <row r="431" ht="29" customHeight="1" spans="1:19">
      <c r="A431" s="20">
        <v>430</v>
      </c>
      <c r="B431" s="26" t="s">
        <v>1424</v>
      </c>
      <c r="C431" s="26" t="s">
        <v>167</v>
      </c>
      <c r="D431" s="27" t="s">
        <v>74</v>
      </c>
      <c r="E431" s="28" t="e">
        <f>VLOOKUP(D431,#REF!,2,0)</f>
        <v>#REF!</v>
      </c>
      <c r="F431" s="50">
        <v>45995</v>
      </c>
      <c r="G431" s="27">
        <v>12</v>
      </c>
      <c r="H431" s="67" t="s">
        <v>1425</v>
      </c>
      <c r="I431" s="67" t="s">
        <v>1426</v>
      </c>
      <c r="J431" s="26" t="s">
        <v>106</v>
      </c>
      <c r="K431" s="24" t="s">
        <v>1113</v>
      </c>
      <c r="L431" s="30" t="s">
        <v>107</v>
      </c>
      <c r="M431" s="30" t="s">
        <v>107</v>
      </c>
      <c r="N431" s="52">
        <v>20000</v>
      </c>
      <c r="O431" s="28" t="s">
        <v>53</v>
      </c>
      <c r="P431" s="28" t="s">
        <v>53</v>
      </c>
      <c r="Q431" s="28"/>
      <c r="R431" s="52" t="s">
        <v>52</v>
      </c>
      <c r="S431" s="52" t="s">
        <v>52</v>
      </c>
    </row>
    <row r="432" ht="29" customHeight="1" spans="1:19">
      <c r="A432" s="20">
        <v>431</v>
      </c>
      <c r="B432" s="26" t="s">
        <v>1427</v>
      </c>
      <c r="C432" s="26" t="s">
        <v>114</v>
      </c>
      <c r="D432" s="27" t="s">
        <v>115</v>
      </c>
      <c r="E432" s="28" t="e">
        <f>VLOOKUP(D432,#REF!,2,0)</f>
        <v>#REF!</v>
      </c>
      <c r="F432" s="50">
        <v>45995</v>
      </c>
      <c r="G432" s="27">
        <v>12</v>
      </c>
      <c r="H432" s="67" t="s">
        <v>1428</v>
      </c>
      <c r="I432" s="67" t="s">
        <v>1216</v>
      </c>
      <c r="J432" s="26" t="s">
        <v>106</v>
      </c>
      <c r="K432" s="24" t="s">
        <v>1113</v>
      </c>
      <c r="L432" s="30" t="s">
        <v>107</v>
      </c>
      <c r="M432" s="30" t="s">
        <v>107</v>
      </c>
      <c r="N432" s="52">
        <v>300000</v>
      </c>
      <c r="O432" s="28" t="s">
        <v>53</v>
      </c>
      <c r="P432" s="28" t="s">
        <v>53</v>
      </c>
      <c r="Q432" s="28"/>
      <c r="R432" s="52" t="s">
        <v>52</v>
      </c>
      <c r="S432" s="52" t="s">
        <v>52</v>
      </c>
    </row>
    <row r="433" ht="29" customHeight="1" spans="1:19">
      <c r="A433" s="20">
        <v>432</v>
      </c>
      <c r="B433" s="26" t="s">
        <v>1429</v>
      </c>
      <c r="C433" s="26" t="s">
        <v>79</v>
      </c>
      <c r="D433" s="27" t="s">
        <v>80</v>
      </c>
      <c r="E433" s="28" t="e">
        <f>VLOOKUP(D433,#REF!,2,0)</f>
        <v>#REF!</v>
      </c>
      <c r="F433" s="50">
        <v>45996</v>
      </c>
      <c r="G433" s="27">
        <v>12</v>
      </c>
      <c r="H433" s="67" t="s">
        <v>1430</v>
      </c>
      <c r="I433" s="67" t="s">
        <v>1431</v>
      </c>
      <c r="J433" s="26" t="s">
        <v>106</v>
      </c>
      <c r="K433" s="24" t="s">
        <v>1113</v>
      </c>
      <c r="L433" s="30" t="s">
        <v>107</v>
      </c>
      <c r="M433" s="30" t="s">
        <v>107</v>
      </c>
      <c r="N433" s="52"/>
      <c r="O433" s="28" t="s">
        <v>53</v>
      </c>
      <c r="P433" s="28" t="s">
        <v>53</v>
      </c>
      <c r="Q433" s="28"/>
      <c r="R433" s="52" t="s">
        <v>53</v>
      </c>
      <c r="S433" s="52" t="s">
        <v>52</v>
      </c>
    </row>
    <row r="434" ht="29" customHeight="1" spans="1:19">
      <c r="A434" s="20">
        <v>433</v>
      </c>
      <c r="B434" s="26" t="s">
        <v>1432</v>
      </c>
      <c r="C434" s="26" t="s">
        <v>140</v>
      </c>
      <c r="D434" s="27" t="s">
        <v>124</v>
      </c>
      <c r="E434" s="28" t="e">
        <f>VLOOKUP(D434,#REF!,2,0)</f>
        <v>#REF!</v>
      </c>
      <c r="F434" s="50">
        <v>45996</v>
      </c>
      <c r="G434" s="27">
        <v>12</v>
      </c>
      <c r="H434" s="67" t="s">
        <v>1433</v>
      </c>
      <c r="I434" s="67" t="s">
        <v>1434</v>
      </c>
      <c r="J434" s="26" t="s">
        <v>106</v>
      </c>
      <c r="K434" s="24" t="s">
        <v>1113</v>
      </c>
      <c r="L434" s="30" t="s">
        <v>107</v>
      </c>
      <c r="M434" s="30" t="s">
        <v>107</v>
      </c>
      <c r="N434" s="52">
        <v>50000</v>
      </c>
      <c r="O434" s="28" t="s">
        <v>53</v>
      </c>
      <c r="P434" s="28" t="s">
        <v>53</v>
      </c>
      <c r="Q434" s="28"/>
      <c r="R434" s="52" t="s">
        <v>52</v>
      </c>
      <c r="S434" s="52" t="s">
        <v>52</v>
      </c>
    </row>
    <row r="435" ht="29" customHeight="1" spans="1:19">
      <c r="A435" s="20">
        <v>434</v>
      </c>
      <c r="B435" s="26" t="s">
        <v>1435</v>
      </c>
      <c r="C435" s="26" t="s">
        <v>457</v>
      </c>
      <c r="D435" s="27" t="s">
        <v>458</v>
      </c>
      <c r="E435" s="28" t="e">
        <f>VLOOKUP(D435,#REF!,2,0)</f>
        <v>#REF!</v>
      </c>
      <c r="F435" s="50">
        <v>45997</v>
      </c>
      <c r="G435" s="27">
        <v>12</v>
      </c>
      <c r="H435" s="67" t="s">
        <v>1436</v>
      </c>
      <c r="I435" s="67" t="s">
        <v>1437</v>
      </c>
      <c r="J435" s="26" t="s">
        <v>170</v>
      </c>
      <c r="K435" s="24" t="s">
        <v>1086</v>
      </c>
      <c r="L435" s="24" t="s">
        <v>107</v>
      </c>
      <c r="M435" s="30" t="s">
        <v>107</v>
      </c>
      <c r="N435" s="52">
        <v>2000</v>
      </c>
      <c r="O435" s="28" t="s">
        <v>53</v>
      </c>
      <c r="P435" s="28" t="s">
        <v>53</v>
      </c>
      <c r="Q435" s="28"/>
      <c r="R435" s="52" t="s">
        <v>52</v>
      </c>
      <c r="S435" s="52" t="s">
        <v>52</v>
      </c>
    </row>
    <row r="436" ht="29" customHeight="1" spans="1:19">
      <c r="A436" s="20">
        <v>435</v>
      </c>
      <c r="B436" s="26" t="s">
        <v>1438</v>
      </c>
      <c r="C436" s="26" t="s">
        <v>45</v>
      </c>
      <c r="D436" s="27" t="s">
        <v>46</v>
      </c>
      <c r="E436" s="28" t="e">
        <f>VLOOKUP(D436,#REF!,2,0)</f>
        <v>#REF!</v>
      </c>
      <c r="F436" s="50">
        <v>45997</v>
      </c>
      <c r="G436" s="27">
        <v>12</v>
      </c>
      <c r="H436" s="67" t="s">
        <v>1439</v>
      </c>
      <c r="I436" s="67" t="s">
        <v>537</v>
      </c>
      <c r="J436" s="26" t="s">
        <v>66</v>
      </c>
      <c r="K436" s="24" t="s">
        <v>1440</v>
      </c>
      <c r="L436" s="30" t="s">
        <v>51</v>
      </c>
      <c r="M436" s="30" t="s">
        <v>50</v>
      </c>
      <c r="N436" s="52">
        <v>5000</v>
      </c>
      <c r="O436" s="28" t="s">
        <v>53</v>
      </c>
      <c r="P436" s="28" t="s">
        <v>52</v>
      </c>
      <c r="Q436" s="28"/>
      <c r="R436" s="52" t="s">
        <v>52</v>
      </c>
      <c r="S436" s="52" t="s">
        <v>52</v>
      </c>
    </row>
    <row r="437" ht="29" customHeight="1" spans="1:19">
      <c r="A437" s="20">
        <v>436</v>
      </c>
      <c r="B437" s="26" t="s">
        <v>693</v>
      </c>
      <c r="C437" s="26" t="s">
        <v>193</v>
      </c>
      <c r="D437" s="27" t="s">
        <v>124</v>
      </c>
      <c r="E437" s="28" t="e">
        <f>VLOOKUP(D437,#REF!,2,0)</f>
        <v>#REF!</v>
      </c>
      <c r="F437" s="50">
        <v>45998</v>
      </c>
      <c r="G437" s="27">
        <v>12</v>
      </c>
      <c r="H437" s="67" t="s">
        <v>1441</v>
      </c>
      <c r="I437" s="67" t="s">
        <v>1442</v>
      </c>
      <c r="J437" s="26" t="s">
        <v>106</v>
      </c>
      <c r="K437" s="24" t="s">
        <v>1113</v>
      </c>
      <c r="L437" s="30" t="s">
        <v>107</v>
      </c>
      <c r="M437" s="30" t="s">
        <v>107</v>
      </c>
      <c r="N437" s="52">
        <v>10000</v>
      </c>
      <c r="O437" s="28" t="s">
        <v>53</v>
      </c>
      <c r="P437" s="28" t="s">
        <v>53</v>
      </c>
      <c r="Q437" s="28"/>
      <c r="R437" s="52" t="s">
        <v>52</v>
      </c>
      <c r="S437" s="52" t="s">
        <v>52</v>
      </c>
    </row>
    <row r="438" ht="29" customHeight="1" spans="1:19">
      <c r="A438" s="20">
        <v>437</v>
      </c>
      <c r="B438" s="26" t="s">
        <v>1443</v>
      </c>
      <c r="C438" s="26" t="s">
        <v>68</v>
      </c>
      <c r="D438" s="27" t="s">
        <v>69</v>
      </c>
      <c r="E438" s="28" t="e">
        <f>VLOOKUP(D438,#REF!,2,0)</f>
        <v>#REF!</v>
      </c>
      <c r="F438" s="50">
        <v>45998</v>
      </c>
      <c r="G438" s="27">
        <v>12</v>
      </c>
      <c r="H438" s="67" t="s">
        <v>1444</v>
      </c>
      <c r="I438" s="67" t="s">
        <v>1445</v>
      </c>
      <c r="J438" s="26" t="s">
        <v>59</v>
      </c>
      <c r="K438" s="24" t="s">
        <v>1127</v>
      </c>
      <c r="L438" s="30" t="s">
        <v>60</v>
      </c>
      <c r="M438" s="30" t="s">
        <v>50</v>
      </c>
      <c r="N438" s="52">
        <v>10000</v>
      </c>
      <c r="O438" s="28" t="s">
        <v>52</v>
      </c>
      <c r="P438" s="28" t="s">
        <v>52</v>
      </c>
      <c r="Q438" s="28"/>
      <c r="R438" s="52" t="s">
        <v>52</v>
      </c>
      <c r="S438" s="52" t="s">
        <v>52</v>
      </c>
    </row>
    <row r="439" ht="29" customHeight="1" spans="1:19">
      <c r="A439" s="20">
        <v>438</v>
      </c>
      <c r="B439" s="26" t="s">
        <v>1446</v>
      </c>
      <c r="C439" s="26" t="s">
        <v>55</v>
      </c>
      <c r="D439" s="27" t="s">
        <v>56</v>
      </c>
      <c r="E439" s="28" t="e">
        <f>VLOOKUP(D439,#REF!,2,0)</f>
        <v>#REF!</v>
      </c>
      <c r="F439" s="50">
        <v>45998</v>
      </c>
      <c r="G439" s="27">
        <v>12</v>
      </c>
      <c r="H439" s="67" t="s">
        <v>1447</v>
      </c>
      <c r="I439" s="67" t="s">
        <v>1448</v>
      </c>
      <c r="J439" s="26" t="s">
        <v>170</v>
      </c>
      <c r="K439" s="24" t="s">
        <v>1086</v>
      </c>
      <c r="L439" s="24" t="s">
        <v>107</v>
      </c>
      <c r="M439" s="30" t="s">
        <v>107</v>
      </c>
      <c r="N439" s="52">
        <v>1000</v>
      </c>
      <c r="O439" s="28" t="s">
        <v>53</v>
      </c>
      <c r="P439" s="28" t="s">
        <v>53</v>
      </c>
      <c r="Q439" s="28"/>
      <c r="R439" s="52" t="s">
        <v>52</v>
      </c>
      <c r="S439" s="52" t="s">
        <v>52</v>
      </c>
    </row>
    <row r="440" ht="29" customHeight="1" spans="1:19">
      <c r="A440" s="20">
        <v>439</v>
      </c>
      <c r="B440" s="26" t="s">
        <v>1449</v>
      </c>
      <c r="C440" s="26" t="s">
        <v>473</v>
      </c>
      <c r="D440" s="27" t="s">
        <v>95</v>
      </c>
      <c r="E440" s="28" t="e">
        <f>VLOOKUP(D440,#REF!,2,0)</f>
        <v>#REF!</v>
      </c>
      <c r="F440" s="50">
        <v>45999</v>
      </c>
      <c r="G440" s="27">
        <v>12</v>
      </c>
      <c r="H440" s="67" t="s">
        <v>1450</v>
      </c>
      <c r="I440" s="67" t="s">
        <v>559</v>
      </c>
      <c r="J440" s="26" t="s">
        <v>106</v>
      </c>
      <c r="K440" s="24" t="s">
        <v>1113</v>
      </c>
      <c r="L440" s="30" t="s">
        <v>107</v>
      </c>
      <c r="M440" s="30" t="s">
        <v>107</v>
      </c>
      <c r="N440" s="52" t="s">
        <v>1114</v>
      </c>
      <c r="O440" s="28" t="s">
        <v>53</v>
      </c>
      <c r="P440" s="28" t="s">
        <v>53</v>
      </c>
      <c r="Q440" s="28"/>
      <c r="R440" s="52" t="s">
        <v>53</v>
      </c>
      <c r="S440" s="52" t="s">
        <v>52</v>
      </c>
    </row>
    <row r="441" ht="29" customHeight="1" spans="1:19">
      <c r="A441" s="20">
        <v>440</v>
      </c>
      <c r="B441" s="26" t="s">
        <v>1451</v>
      </c>
      <c r="C441" s="26" t="s">
        <v>133</v>
      </c>
      <c r="D441" s="27" t="s">
        <v>103</v>
      </c>
      <c r="E441" s="28" t="e">
        <f>VLOOKUP(D441,#REF!,2,0)</f>
        <v>#REF!</v>
      </c>
      <c r="F441" s="50">
        <v>46001</v>
      </c>
      <c r="G441" s="27">
        <v>12</v>
      </c>
      <c r="H441" s="67" t="s">
        <v>1452</v>
      </c>
      <c r="I441" s="67" t="s">
        <v>896</v>
      </c>
      <c r="J441" s="26" t="s">
        <v>66</v>
      </c>
      <c r="K441" s="24" t="s">
        <v>1453</v>
      </c>
      <c r="L441" s="30" t="s">
        <v>51</v>
      </c>
      <c r="M441" s="30" t="s">
        <v>50</v>
      </c>
      <c r="N441" s="52" t="s">
        <v>1182</v>
      </c>
      <c r="O441" s="28" t="s">
        <v>53</v>
      </c>
      <c r="P441" s="28" t="s">
        <v>52</v>
      </c>
      <c r="Q441" s="28"/>
      <c r="R441" s="52" t="s">
        <v>52</v>
      </c>
      <c r="S441" s="52" t="s">
        <v>52</v>
      </c>
    </row>
    <row r="442" ht="29" customHeight="1" spans="1:19">
      <c r="A442" s="20">
        <v>441</v>
      </c>
      <c r="B442" s="26" t="s">
        <v>1454</v>
      </c>
      <c r="C442" s="26" t="s">
        <v>435</v>
      </c>
      <c r="D442" s="27" t="s">
        <v>63</v>
      </c>
      <c r="E442" s="28" t="e">
        <f>VLOOKUP(D442,#REF!,2,0)</f>
        <v>#REF!</v>
      </c>
      <c r="F442" s="50">
        <v>46002</v>
      </c>
      <c r="G442" s="27">
        <v>12</v>
      </c>
      <c r="H442" s="67" t="s">
        <v>1455</v>
      </c>
      <c r="I442" s="67" t="s">
        <v>1456</v>
      </c>
      <c r="J442" s="26" t="s">
        <v>66</v>
      </c>
      <c r="K442" s="24" t="s">
        <v>1091</v>
      </c>
      <c r="L442" s="30" t="s">
        <v>51</v>
      </c>
      <c r="M442" s="30" t="s">
        <v>50</v>
      </c>
      <c r="N442" s="52" t="s">
        <v>1174</v>
      </c>
      <c r="O442" s="28" t="s">
        <v>53</v>
      </c>
      <c r="P442" s="28" t="s">
        <v>52</v>
      </c>
      <c r="Q442" s="28"/>
      <c r="R442" s="52" t="s">
        <v>52</v>
      </c>
      <c r="S442" s="52" t="s">
        <v>52</v>
      </c>
    </row>
    <row r="443" ht="29" customHeight="1" spans="1:19">
      <c r="A443" s="20">
        <v>442</v>
      </c>
      <c r="B443" s="26" t="s">
        <v>1457</v>
      </c>
      <c r="C443" s="26" t="s">
        <v>55</v>
      </c>
      <c r="D443" s="27" t="s">
        <v>56</v>
      </c>
      <c r="E443" s="28" t="e">
        <f>VLOOKUP(D443,#REF!,2,0)</f>
        <v>#REF!</v>
      </c>
      <c r="F443" s="50">
        <v>46002</v>
      </c>
      <c r="G443" s="27">
        <v>12</v>
      </c>
      <c r="H443" s="67" t="s">
        <v>1458</v>
      </c>
      <c r="I443" s="67" t="s">
        <v>1459</v>
      </c>
      <c r="J443" s="26" t="s">
        <v>127</v>
      </c>
      <c r="K443" s="24" t="s">
        <v>1440</v>
      </c>
      <c r="L443" s="30" t="s">
        <v>51</v>
      </c>
      <c r="M443" s="30" t="s">
        <v>50</v>
      </c>
      <c r="N443" s="52" t="s">
        <v>1182</v>
      </c>
      <c r="O443" s="28" t="s">
        <v>53</v>
      </c>
      <c r="P443" s="28" t="s">
        <v>52</v>
      </c>
      <c r="Q443" s="28"/>
      <c r="R443" s="52" t="s">
        <v>52</v>
      </c>
      <c r="S443" s="52" t="s">
        <v>52</v>
      </c>
    </row>
    <row r="444" ht="29" customHeight="1" spans="1:19">
      <c r="A444" s="20">
        <v>443</v>
      </c>
      <c r="B444" s="26" t="s">
        <v>1460</v>
      </c>
      <c r="C444" s="26" t="s">
        <v>140</v>
      </c>
      <c r="D444" s="27" t="s">
        <v>124</v>
      </c>
      <c r="E444" s="28" t="e">
        <f>VLOOKUP(D444,#REF!,2,0)</f>
        <v>#REF!</v>
      </c>
      <c r="F444" s="50">
        <v>46002</v>
      </c>
      <c r="G444" s="27">
        <v>12</v>
      </c>
      <c r="H444" s="67" t="s">
        <v>1461</v>
      </c>
      <c r="I444" s="67" t="s">
        <v>1462</v>
      </c>
      <c r="J444" s="26" t="s">
        <v>66</v>
      </c>
      <c r="K444" s="24" t="s">
        <v>1136</v>
      </c>
      <c r="L444" s="24" t="s">
        <v>60</v>
      </c>
      <c r="M444" s="30" t="s">
        <v>50</v>
      </c>
      <c r="N444" s="52" t="s">
        <v>1157</v>
      </c>
      <c r="O444" s="28" t="s">
        <v>52</v>
      </c>
      <c r="P444" s="28" t="s">
        <v>52</v>
      </c>
      <c r="Q444" s="28"/>
      <c r="R444" s="52" t="s">
        <v>52</v>
      </c>
      <c r="S444" s="52" t="s">
        <v>52</v>
      </c>
    </row>
    <row r="445" ht="29" customHeight="1" spans="1:19">
      <c r="A445" s="20">
        <v>444</v>
      </c>
      <c r="B445" s="26" t="s">
        <v>1463</v>
      </c>
      <c r="C445" s="26" t="s">
        <v>1399</v>
      </c>
      <c r="D445" s="27" t="s">
        <v>373</v>
      </c>
      <c r="E445" s="28" t="e">
        <f>VLOOKUP(D445,#REF!,2,0)</f>
        <v>#REF!</v>
      </c>
      <c r="F445" s="50">
        <v>46002</v>
      </c>
      <c r="G445" s="27">
        <v>12</v>
      </c>
      <c r="H445" s="67" t="s">
        <v>1464</v>
      </c>
      <c r="I445" s="67" t="s">
        <v>1465</v>
      </c>
      <c r="J445" s="26" t="s">
        <v>325</v>
      </c>
      <c r="K445" s="24" t="s">
        <v>1100</v>
      </c>
      <c r="L445" s="30" t="s">
        <v>107</v>
      </c>
      <c r="M445" s="30" t="s">
        <v>107</v>
      </c>
      <c r="N445" s="52" t="s">
        <v>1118</v>
      </c>
      <c r="O445" s="28" t="s">
        <v>53</v>
      </c>
      <c r="P445" s="28" t="s">
        <v>53</v>
      </c>
      <c r="Q445" s="28"/>
      <c r="R445" s="52" t="s">
        <v>53</v>
      </c>
      <c r="S445" s="52" t="s">
        <v>52</v>
      </c>
    </row>
    <row r="446" ht="29" customHeight="1" spans="1:19">
      <c r="A446" s="20">
        <v>445</v>
      </c>
      <c r="B446" s="26" t="s">
        <v>1466</v>
      </c>
      <c r="C446" s="26" t="s">
        <v>999</v>
      </c>
      <c r="D446" s="27" t="s">
        <v>1330</v>
      </c>
      <c r="E446" s="28" t="s">
        <v>539</v>
      </c>
      <c r="F446" s="50">
        <v>46002</v>
      </c>
      <c r="G446" s="27">
        <v>12</v>
      </c>
      <c r="H446" s="67" t="s">
        <v>1467</v>
      </c>
      <c r="I446" s="67" t="s">
        <v>1468</v>
      </c>
      <c r="J446" s="26" t="s">
        <v>127</v>
      </c>
      <c r="K446" s="24" t="s">
        <v>1181</v>
      </c>
      <c r="L446" s="30" t="s">
        <v>107</v>
      </c>
      <c r="M446" s="30" t="s">
        <v>107</v>
      </c>
      <c r="N446" s="52" t="s">
        <v>1188</v>
      </c>
      <c r="O446" s="28" t="s">
        <v>53</v>
      </c>
      <c r="P446" s="28" t="s">
        <v>53</v>
      </c>
      <c r="Q446" s="28"/>
      <c r="R446" s="52" t="s">
        <v>52</v>
      </c>
      <c r="S446" s="52" t="s">
        <v>52</v>
      </c>
    </row>
    <row r="447" ht="29" customHeight="1" spans="1:19">
      <c r="A447" s="20">
        <v>446</v>
      </c>
      <c r="B447" s="26" t="s">
        <v>1469</v>
      </c>
      <c r="C447" s="26" t="s">
        <v>1281</v>
      </c>
      <c r="D447" s="27" t="s">
        <v>1151</v>
      </c>
      <c r="E447" s="28" t="e">
        <f>VLOOKUP(D447,#REF!,2,0)</f>
        <v>#REF!</v>
      </c>
      <c r="F447" s="50">
        <v>46003</v>
      </c>
      <c r="G447" s="27">
        <v>12</v>
      </c>
      <c r="H447" s="67" t="s">
        <v>1470</v>
      </c>
      <c r="I447" s="67" t="s">
        <v>1471</v>
      </c>
      <c r="J447" s="26" t="s">
        <v>66</v>
      </c>
      <c r="K447" s="24" t="s">
        <v>1091</v>
      </c>
      <c r="L447" s="30" t="s">
        <v>51</v>
      </c>
      <c r="M447" s="30" t="s">
        <v>50</v>
      </c>
      <c r="N447" s="52" t="s">
        <v>1118</v>
      </c>
      <c r="O447" s="28" t="s">
        <v>53</v>
      </c>
      <c r="P447" s="28" t="s">
        <v>52</v>
      </c>
      <c r="Q447" s="28"/>
      <c r="R447" s="52" t="s">
        <v>52</v>
      </c>
      <c r="S447" s="52" t="s">
        <v>52</v>
      </c>
    </row>
    <row r="448" ht="29" customHeight="1" spans="1:19">
      <c r="A448" s="20">
        <v>447</v>
      </c>
      <c r="B448" s="26" t="s">
        <v>1472</v>
      </c>
      <c r="C448" s="26" t="s">
        <v>486</v>
      </c>
      <c r="D448" s="27" t="s">
        <v>237</v>
      </c>
      <c r="E448" s="28" t="e">
        <f>VLOOKUP(D448,#REF!,2,0)</f>
        <v>#REF!</v>
      </c>
      <c r="F448" s="50">
        <v>46003</v>
      </c>
      <c r="G448" s="27">
        <v>12</v>
      </c>
      <c r="H448" s="67" t="s">
        <v>1473</v>
      </c>
      <c r="I448" s="67" t="s">
        <v>1474</v>
      </c>
      <c r="J448" s="26" t="s">
        <v>66</v>
      </c>
      <c r="K448" s="24" t="s">
        <v>1091</v>
      </c>
      <c r="L448" s="30" t="s">
        <v>51</v>
      </c>
      <c r="M448" s="30" t="s">
        <v>50</v>
      </c>
      <c r="N448" s="52" t="s">
        <v>1148</v>
      </c>
      <c r="O448" s="28" t="s">
        <v>53</v>
      </c>
      <c r="P448" s="28" t="s">
        <v>52</v>
      </c>
      <c r="Q448" s="28"/>
      <c r="R448" s="52" t="s">
        <v>52</v>
      </c>
      <c r="S448" s="52" t="s">
        <v>52</v>
      </c>
    </row>
    <row r="449" ht="29" customHeight="1" spans="1:19">
      <c r="A449" s="20">
        <v>448</v>
      </c>
      <c r="B449" s="26" t="s">
        <v>1475</v>
      </c>
      <c r="C449" s="26" t="s">
        <v>999</v>
      </c>
      <c r="D449" s="27" t="s">
        <v>1330</v>
      </c>
      <c r="E449" s="28" t="s">
        <v>539</v>
      </c>
      <c r="F449" s="50">
        <v>46003</v>
      </c>
      <c r="G449" s="27">
        <v>12</v>
      </c>
      <c r="H449" s="67" t="s">
        <v>1476</v>
      </c>
      <c r="I449" s="67" t="s">
        <v>1477</v>
      </c>
      <c r="J449" s="26" t="s">
        <v>325</v>
      </c>
      <c r="K449" s="24" t="s">
        <v>1100</v>
      </c>
      <c r="L449" s="30" t="s">
        <v>107</v>
      </c>
      <c r="M449" s="30" t="s">
        <v>107</v>
      </c>
      <c r="N449" s="52" t="s">
        <v>1174</v>
      </c>
      <c r="O449" s="28" t="s">
        <v>53</v>
      </c>
      <c r="P449" s="28" t="s">
        <v>53</v>
      </c>
      <c r="Q449" s="28"/>
      <c r="R449" s="52" t="s">
        <v>52</v>
      </c>
      <c r="S449" s="52" t="s">
        <v>52</v>
      </c>
    </row>
    <row r="450" ht="29" customHeight="1" spans="1:19">
      <c r="A450" s="20">
        <v>449</v>
      </c>
      <c r="B450" s="26" t="s">
        <v>1478</v>
      </c>
      <c r="C450" s="26" t="s">
        <v>606</v>
      </c>
      <c r="D450" s="27" t="s">
        <v>46</v>
      </c>
      <c r="E450" s="28" t="e">
        <f>VLOOKUP(D450,#REF!,2,0)</f>
        <v>#REF!</v>
      </c>
      <c r="F450" s="50">
        <v>46005</v>
      </c>
      <c r="G450" s="27">
        <v>12</v>
      </c>
      <c r="H450" s="67" t="s">
        <v>1479</v>
      </c>
      <c r="I450" s="67" t="s">
        <v>971</v>
      </c>
      <c r="J450" s="26" t="s">
        <v>66</v>
      </c>
      <c r="K450" s="24" t="s">
        <v>1091</v>
      </c>
      <c r="L450" s="30" t="s">
        <v>51</v>
      </c>
      <c r="M450" s="30" t="s">
        <v>50</v>
      </c>
      <c r="N450" s="52" t="s">
        <v>1174</v>
      </c>
      <c r="O450" s="28" t="s">
        <v>53</v>
      </c>
      <c r="P450" s="28" t="s">
        <v>52</v>
      </c>
      <c r="Q450" s="28"/>
      <c r="R450" s="52" t="s">
        <v>52</v>
      </c>
      <c r="S450" s="52" t="s">
        <v>52</v>
      </c>
    </row>
    <row r="451" ht="29" customHeight="1" spans="1:19">
      <c r="A451" s="20">
        <v>450</v>
      </c>
      <c r="B451" s="26" t="s">
        <v>1480</v>
      </c>
      <c r="C451" s="26" t="s">
        <v>1150</v>
      </c>
      <c r="D451" s="27" t="s">
        <v>1151</v>
      </c>
      <c r="E451" s="28" t="e">
        <f>VLOOKUP(D451,#REF!,2,0)</f>
        <v>#REF!</v>
      </c>
      <c r="F451" s="50">
        <v>46005</v>
      </c>
      <c r="G451" s="27">
        <v>12</v>
      </c>
      <c r="H451" s="67" t="s">
        <v>1481</v>
      </c>
      <c r="I451" s="67" t="s">
        <v>675</v>
      </c>
      <c r="J451" s="26" t="s">
        <v>77</v>
      </c>
      <c r="K451" s="24" t="s">
        <v>1265</v>
      </c>
      <c r="L451" s="30" t="s">
        <v>51</v>
      </c>
      <c r="M451" s="30" t="s">
        <v>50</v>
      </c>
      <c r="N451" s="52" t="s">
        <v>1182</v>
      </c>
      <c r="O451" s="28" t="s">
        <v>53</v>
      </c>
      <c r="P451" s="28" t="s">
        <v>52</v>
      </c>
      <c r="Q451" s="28"/>
      <c r="R451" s="52" t="s">
        <v>52</v>
      </c>
      <c r="S451" s="52" t="s">
        <v>52</v>
      </c>
    </row>
    <row r="452" ht="29" customHeight="1" spans="1:19">
      <c r="A452" s="20">
        <v>451</v>
      </c>
      <c r="B452" s="26" t="s">
        <v>1482</v>
      </c>
      <c r="C452" s="26" t="s">
        <v>435</v>
      </c>
      <c r="D452" s="27" t="s">
        <v>63</v>
      </c>
      <c r="E452" s="28" t="e">
        <f>VLOOKUP(D452,#REF!,2,0)</f>
        <v>#REF!</v>
      </c>
      <c r="F452" s="50">
        <v>46006</v>
      </c>
      <c r="G452" s="27">
        <v>12</v>
      </c>
      <c r="H452" s="67" t="s">
        <v>1483</v>
      </c>
      <c r="I452" s="67" t="s">
        <v>1419</v>
      </c>
      <c r="J452" s="26" t="s">
        <v>234</v>
      </c>
      <c r="K452" s="88" t="s">
        <v>1484</v>
      </c>
      <c r="L452" s="88" t="s">
        <v>60</v>
      </c>
      <c r="M452" s="24" t="s">
        <v>50</v>
      </c>
      <c r="N452" s="52" t="s">
        <v>1096</v>
      </c>
      <c r="O452" s="28" t="s">
        <v>52</v>
      </c>
      <c r="P452" s="28" t="s">
        <v>52</v>
      </c>
      <c r="Q452" s="28"/>
      <c r="R452" s="52" t="s">
        <v>52</v>
      </c>
      <c r="S452" s="52" t="s">
        <v>52</v>
      </c>
    </row>
    <row r="453" ht="29" customHeight="1" spans="1:19">
      <c r="A453" s="20">
        <v>452</v>
      </c>
      <c r="B453" s="26" t="s">
        <v>1485</v>
      </c>
      <c r="C453" s="26" t="s">
        <v>55</v>
      </c>
      <c r="D453" s="27" t="s">
        <v>56</v>
      </c>
      <c r="E453" s="28" t="e">
        <f>VLOOKUP(D453,#REF!,2,0)</f>
        <v>#REF!</v>
      </c>
      <c r="F453" s="50">
        <v>46007</v>
      </c>
      <c r="G453" s="27">
        <v>12</v>
      </c>
      <c r="H453" s="67" t="s">
        <v>1486</v>
      </c>
      <c r="I453" s="67" t="s">
        <v>1487</v>
      </c>
      <c r="J453" s="26" t="s">
        <v>66</v>
      </c>
      <c r="K453" s="24" t="s">
        <v>1402</v>
      </c>
      <c r="L453" s="24" t="s">
        <v>51</v>
      </c>
      <c r="M453" s="24" t="s">
        <v>50</v>
      </c>
      <c r="N453" s="52" t="s">
        <v>1182</v>
      </c>
      <c r="O453" s="28" t="s">
        <v>53</v>
      </c>
      <c r="P453" s="28" t="s">
        <v>52</v>
      </c>
      <c r="Q453" s="28"/>
      <c r="R453" s="52" t="s">
        <v>52</v>
      </c>
      <c r="S453" s="52" t="s">
        <v>52</v>
      </c>
    </row>
    <row r="454" ht="29" customHeight="1" spans="1:19">
      <c r="A454" s="20">
        <v>453</v>
      </c>
      <c r="B454" s="26" t="s">
        <v>1488</v>
      </c>
      <c r="C454" s="26" t="s">
        <v>586</v>
      </c>
      <c r="D454" s="27" t="s">
        <v>74</v>
      </c>
      <c r="E454" s="28" t="e">
        <f>VLOOKUP(D454,#REF!,2,0)</f>
        <v>#REF!</v>
      </c>
      <c r="F454" s="50">
        <v>46008</v>
      </c>
      <c r="G454" s="27">
        <v>12</v>
      </c>
      <c r="H454" s="67" t="s">
        <v>1489</v>
      </c>
      <c r="I454" s="67" t="s">
        <v>1490</v>
      </c>
      <c r="J454" s="26" t="s">
        <v>127</v>
      </c>
      <c r="K454" s="24" t="s">
        <v>1181</v>
      </c>
      <c r="L454" s="24" t="s">
        <v>107</v>
      </c>
      <c r="M454" s="24" t="s">
        <v>107</v>
      </c>
      <c r="N454" s="52" t="s">
        <v>1182</v>
      </c>
      <c r="O454" s="28" t="s">
        <v>53</v>
      </c>
      <c r="P454" s="28" t="s">
        <v>53</v>
      </c>
      <c r="Q454" s="28"/>
      <c r="R454" s="52" t="s">
        <v>52</v>
      </c>
      <c r="S454" s="52" t="s">
        <v>53</v>
      </c>
    </row>
    <row r="455" ht="29" customHeight="1" spans="1:19">
      <c r="A455" s="20">
        <v>454</v>
      </c>
      <c r="B455" s="26" t="s">
        <v>1491</v>
      </c>
      <c r="C455" s="26" t="s">
        <v>231</v>
      </c>
      <c r="D455" s="27" t="s">
        <v>155</v>
      </c>
      <c r="E455" s="28" t="e">
        <f>VLOOKUP(D455,#REF!,2,0)</f>
        <v>#REF!</v>
      </c>
      <c r="F455" s="50">
        <v>46008</v>
      </c>
      <c r="G455" s="27">
        <v>12</v>
      </c>
      <c r="H455" s="67" t="s">
        <v>1492</v>
      </c>
      <c r="I455" s="67" t="s">
        <v>614</v>
      </c>
      <c r="J455" s="26" t="s">
        <v>127</v>
      </c>
      <c r="K455" s="24" t="s">
        <v>1493</v>
      </c>
      <c r="L455" s="24" t="s">
        <v>1494</v>
      </c>
      <c r="M455" s="24" t="s">
        <v>50</v>
      </c>
      <c r="N455" s="52" t="s">
        <v>1495</v>
      </c>
      <c r="O455" s="28" t="s">
        <v>53</v>
      </c>
      <c r="P455" s="28" t="s">
        <v>52</v>
      </c>
      <c r="Q455" s="28"/>
      <c r="R455" s="52" t="s">
        <v>52</v>
      </c>
      <c r="S455" s="52" t="s">
        <v>53</v>
      </c>
    </row>
    <row r="456" ht="29" customHeight="1" spans="1:19">
      <c r="A456" s="20">
        <v>455</v>
      </c>
      <c r="B456" s="26" t="s">
        <v>1496</v>
      </c>
      <c r="C456" s="26" t="s">
        <v>435</v>
      </c>
      <c r="D456" s="27" t="s">
        <v>63</v>
      </c>
      <c r="E456" s="28" t="e">
        <f>VLOOKUP(D456,#REF!,2,0)</f>
        <v>#REF!</v>
      </c>
      <c r="F456" s="50">
        <v>46009</v>
      </c>
      <c r="G456" s="27">
        <v>12</v>
      </c>
      <c r="H456" s="67" t="s">
        <v>1497</v>
      </c>
      <c r="I456" s="67" t="s">
        <v>1498</v>
      </c>
      <c r="J456" s="26" t="s">
        <v>234</v>
      </c>
      <c r="K456" s="88" t="s">
        <v>1166</v>
      </c>
      <c r="L456" s="24" t="s">
        <v>51</v>
      </c>
      <c r="M456" s="30" t="s">
        <v>50</v>
      </c>
      <c r="N456" s="52" t="s">
        <v>1499</v>
      </c>
      <c r="O456" s="28" t="s">
        <v>52</v>
      </c>
      <c r="P456" s="28" t="s">
        <v>52</v>
      </c>
      <c r="Q456" s="28"/>
      <c r="R456" s="52" t="s">
        <v>52</v>
      </c>
      <c r="S456" s="52" t="s">
        <v>53</v>
      </c>
    </row>
    <row r="457" ht="29" customHeight="1" spans="1:19">
      <c r="A457" s="20">
        <v>456</v>
      </c>
      <c r="B457" s="28" t="s">
        <v>1500</v>
      </c>
      <c r="C457" s="28" t="s">
        <v>201</v>
      </c>
      <c r="D457" s="27" t="s">
        <v>124</v>
      </c>
      <c r="E457" s="28" t="s">
        <v>529</v>
      </c>
      <c r="F457" s="50">
        <v>46010</v>
      </c>
      <c r="G457" s="27">
        <v>12</v>
      </c>
      <c r="H457" s="65" t="s">
        <v>1501</v>
      </c>
      <c r="I457" s="29"/>
      <c r="J457" s="26" t="s">
        <v>106</v>
      </c>
      <c r="K457" s="24" t="s">
        <v>1113</v>
      </c>
      <c r="L457" s="30" t="s">
        <v>107</v>
      </c>
      <c r="M457" s="30" t="s">
        <v>107</v>
      </c>
      <c r="N457" s="52"/>
      <c r="O457" s="28" t="s">
        <v>53</v>
      </c>
      <c r="P457" s="28" t="s">
        <v>53</v>
      </c>
      <c r="Q457" s="28"/>
      <c r="R457" s="52" t="s">
        <v>52</v>
      </c>
      <c r="S457" s="52" t="s">
        <v>53</v>
      </c>
    </row>
    <row r="458" ht="29" customHeight="1" spans="1:19">
      <c r="A458" s="20">
        <v>457</v>
      </c>
      <c r="B458" s="28" t="s">
        <v>1502</v>
      </c>
      <c r="C458" s="28" t="s">
        <v>1503</v>
      </c>
      <c r="D458" s="27" t="s">
        <v>124</v>
      </c>
      <c r="E458" s="28" t="s">
        <v>529</v>
      </c>
      <c r="F458" s="50">
        <v>46010</v>
      </c>
      <c r="G458" s="27">
        <v>12</v>
      </c>
      <c r="H458" s="65" t="s">
        <v>1504</v>
      </c>
      <c r="I458" s="29" t="s">
        <v>1505</v>
      </c>
      <c r="J458" s="26" t="s">
        <v>59</v>
      </c>
      <c r="K458" s="24" t="s">
        <v>1156</v>
      </c>
      <c r="L458" s="30" t="s">
        <v>60</v>
      </c>
      <c r="M458" s="30" t="s">
        <v>50</v>
      </c>
      <c r="N458" s="52">
        <v>30000</v>
      </c>
      <c r="O458" s="28" t="s">
        <v>52</v>
      </c>
      <c r="P458" s="28" t="s">
        <v>52</v>
      </c>
      <c r="Q458" s="28"/>
      <c r="R458" s="52" t="s">
        <v>52</v>
      </c>
      <c r="S458" s="52" t="s">
        <v>53</v>
      </c>
    </row>
    <row r="459" ht="29" customHeight="1" spans="1:19">
      <c r="A459" s="20">
        <v>458</v>
      </c>
      <c r="B459" s="28" t="s">
        <v>1506</v>
      </c>
      <c r="C459" s="28" t="s">
        <v>1507</v>
      </c>
      <c r="D459" s="27" t="s">
        <v>819</v>
      </c>
      <c r="E459" s="28" t="s">
        <v>539</v>
      </c>
      <c r="F459" s="104">
        <v>46010</v>
      </c>
      <c r="G459" s="27">
        <v>12</v>
      </c>
      <c r="H459" s="65" t="s">
        <v>1508</v>
      </c>
      <c r="I459" s="29" t="s">
        <v>614</v>
      </c>
      <c r="J459" s="26" t="s">
        <v>700</v>
      </c>
      <c r="K459" s="24" t="s">
        <v>1104</v>
      </c>
      <c r="L459" s="30" t="s">
        <v>60</v>
      </c>
      <c r="M459" s="30" t="s">
        <v>50</v>
      </c>
      <c r="N459" s="52">
        <v>6800</v>
      </c>
      <c r="O459" s="28" t="s">
        <v>52</v>
      </c>
      <c r="P459" s="28" t="s">
        <v>52</v>
      </c>
      <c r="Q459" s="28"/>
      <c r="R459" s="52" t="s">
        <v>52</v>
      </c>
      <c r="S459" s="52" t="s">
        <v>53</v>
      </c>
    </row>
    <row r="460" ht="29" customHeight="1" spans="1:19">
      <c r="A460" s="20">
        <v>459</v>
      </c>
      <c r="B460" s="28" t="s">
        <v>1509</v>
      </c>
      <c r="C460" s="28" t="s">
        <v>1510</v>
      </c>
      <c r="D460" s="27" t="s">
        <v>1151</v>
      </c>
      <c r="E460" s="28" t="s">
        <v>539</v>
      </c>
      <c r="F460" s="104">
        <v>46011</v>
      </c>
      <c r="G460" s="27">
        <v>12</v>
      </c>
      <c r="H460" s="65" t="s">
        <v>1511</v>
      </c>
      <c r="I460" s="29" t="s">
        <v>741</v>
      </c>
      <c r="J460" s="26" t="s">
        <v>127</v>
      </c>
      <c r="K460" s="24" t="s">
        <v>1181</v>
      </c>
      <c r="L460" s="30" t="s">
        <v>107</v>
      </c>
      <c r="M460" s="30" t="s">
        <v>107</v>
      </c>
      <c r="N460" s="52">
        <v>20000</v>
      </c>
      <c r="O460" s="28" t="s">
        <v>53</v>
      </c>
      <c r="P460" s="28" t="s">
        <v>53</v>
      </c>
      <c r="Q460" s="28"/>
      <c r="R460" s="52" t="s">
        <v>52</v>
      </c>
      <c r="S460" s="52" t="s">
        <v>53</v>
      </c>
    </row>
    <row r="461" ht="29" customHeight="1" spans="1:19">
      <c r="A461" s="20">
        <v>460</v>
      </c>
      <c r="B461" s="28" t="s">
        <v>1512</v>
      </c>
      <c r="C461" s="28" t="s">
        <v>1513</v>
      </c>
      <c r="D461" s="27" t="s">
        <v>237</v>
      </c>
      <c r="E461" s="28" t="s">
        <v>462</v>
      </c>
      <c r="F461" s="104">
        <v>46004</v>
      </c>
      <c r="G461" s="27">
        <v>12</v>
      </c>
      <c r="H461" s="65" t="s">
        <v>1514</v>
      </c>
      <c r="I461" s="29"/>
      <c r="J461" s="26" t="s">
        <v>106</v>
      </c>
      <c r="K461" s="24" t="s">
        <v>1113</v>
      </c>
      <c r="L461" s="30" t="s">
        <v>107</v>
      </c>
      <c r="M461" s="30" t="s">
        <v>107</v>
      </c>
      <c r="N461" s="52"/>
      <c r="O461" s="28" t="s">
        <v>53</v>
      </c>
      <c r="P461" s="28" t="s">
        <v>53</v>
      </c>
      <c r="Q461" s="28"/>
      <c r="R461" s="52" t="s">
        <v>52</v>
      </c>
      <c r="S461" s="52" t="s">
        <v>53</v>
      </c>
    </row>
    <row r="462" ht="29" customHeight="1" spans="1:19">
      <c r="A462" s="20">
        <v>461</v>
      </c>
      <c r="B462" s="28" t="s">
        <v>1515</v>
      </c>
      <c r="C462" s="28" t="s">
        <v>1246</v>
      </c>
      <c r="D462" s="27" t="s">
        <v>237</v>
      </c>
      <c r="E462" s="28" t="s">
        <v>462</v>
      </c>
      <c r="F462" s="104">
        <v>46000</v>
      </c>
      <c r="G462" s="27">
        <v>12</v>
      </c>
      <c r="H462" s="65" t="s">
        <v>1516</v>
      </c>
      <c r="I462" s="29"/>
      <c r="J462" s="26" t="s">
        <v>77</v>
      </c>
      <c r="K462" s="24" t="s">
        <v>1265</v>
      </c>
      <c r="L462" s="30" t="s">
        <v>51</v>
      </c>
      <c r="M462" s="30" t="s">
        <v>50</v>
      </c>
      <c r="N462" s="52">
        <v>800</v>
      </c>
      <c r="O462" s="28" t="s">
        <v>53</v>
      </c>
      <c r="P462" s="28" t="s">
        <v>52</v>
      </c>
      <c r="Q462" s="28"/>
      <c r="R462" s="52" t="s">
        <v>52</v>
      </c>
      <c r="S462" s="52" t="s">
        <v>53</v>
      </c>
    </row>
  </sheetData>
  <autoFilter xmlns:etc="http://www.wps.cn/officeDocument/2017/etCustomData" ref="A1:S462" etc:filterBottomFollowUsedRange="0">
    <extLst/>
  </autoFilter>
  <conditionalFormatting sqref="A113">
    <cfRule type="duplicateValues" dxfId="0" priority="28"/>
  </conditionalFormatting>
  <conditionalFormatting sqref="B113">
    <cfRule type="duplicateValues" dxfId="0" priority="29"/>
  </conditionalFormatting>
  <conditionalFormatting sqref="B147">
    <cfRule type="duplicateValues" dxfId="0" priority="4"/>
  </conditionalFormatting>
  <conditionalFormatting sqref="B226">
    <cfRule type="duplicateValues" dxfId="0" priority="22"/>
  </conditionalFormatting>
  <conditionalFormatting sqref="B228">
    <cfRule type="duplicateValues" dxfId="0" priority="23"/>
  </conditionalFormatting>
  <conditionalFormatting sqref="B233">
    <cfRule type="duplicateValues" dxfId="0" priority="19"/>
  </conditionalFormatting>
  <conditionalFormatting sqref="C319">
    <cfRule type="duplicateValues" dxfId="0" priority="16"/>
  </conditionalFormatting>
  <conditionalFormatting sqref="B323">
    <cfRule type="duplicateValues" dxfId="0" priority="14"/>
  </conditionalFormatting>
  <conditionalFormatting sqref="B324">
    <cfRule type="duplicateValues" dxfId="0" priority="15"/>
  </conditionalFormatting>
  <conditionalFormatting sqref="B326">
    <cfRule type="duplicateValues" dxfId="0" priority="13"/>
  </conditionalFormatting>
  <conditionalFormatting sqref="B327">
    <cfRule type="duplicateValues" dxfId="0" priority="12"/>
  </conditionalFormatting>
  <conditionalFormatting sqref="B329">
    <cfRule type="duplicateValues" dxfId="0" priority="7"/>
  </conditionalFormatting>
  <conditionalFormatting sqref="B337">
    <cfRule type="duplicateValues" dxfId="0" priority="8"/>
  </conditionalFormatting>
  <conditionalFormatting sqref="B340">
    <cfRule type="duplicateValues" dxfId="0" priority="9"/>
  </conditionalFormatting>
  <conditionalFormatting sqref="B365">
    <cfRule type="duplicateValues" dxfId="0" priority="6"/>
  </conditionalFormatting>
  <conditionalFormatting sqref="B424">
    <cfRule type="duplicateValues" dxfId="0" priority="3"/>
  </conditionalFormatting>
  <conditionalFormatting sqref="B427">
    <cfRule type="duplicateValues" dxfId="0" priority="2"/>
  </conditionalFormatting>
  <conditionalFormatting sqref="B269:B320">
    <cfRule type="duplicateValues" dxfId="0" priority="18"/>
  </conditionalFormatting>
  <conditionalFormatting sqref="B373:B413">
    <cfRule type="duplicateValues" dxfId="0" priority="5"/>
  </conditionalFormatting>
  <conditionalFormatting sqref="B429:B462">
    <cfRule type="duplicateValues" dxfId="0" priority="1"/>
  </conditionalFormatting>
  <conditionalFormatting sqref="B171:B193 B195:B206 B208:B216 B223:B225 B227 B218:B219">
    <cfRule type="duplicateValues" dxfId="0" priority="25"/>
  </conditionalFormatting>
  <conditionalFormatting sqref="B217 B207 B194">
    <cfRule type="duplicateValues" dxfId="0" priority="21"/>
  </conditionalFormatting>
  <conditionalFormatting sqref="A220:B222 A225">
    <cfRule type="duplicateValues" dxfId="0" priority="24"/>
  </conditionalFormatting>
  <conditionalFormatting sqref="B234:B262 B232">
    <cfRule type="duplicateValues" dxfId="0" priority="20"/>
  </conditionalFormatting>
  <conditionalFormatting sqref="B321:B322 B325">
    <cfRule type="duplicateValues" dxfId="0" priority="17"/>
  </conditionalFormatting>
  <conditionalFormatting sqref="B328 B330:B336 B341 B338:B339">
    <cfRule type="duplicateValues" dxfId="0" priority="10"/>
  </conditionalFormatting>
  <conditionalFormatting sqref="B342:B364 B366:B372">
    <cfRule type="duplicateValues" dxfId="0" priority="11"/>
  </conditionalFormatting>
  <dataValidations count="8">
    <dataValidation type="list" allowBlank="1" showInputMessage="1" showErrorMessage="1" sqref="O2:P2 O113:P113 O167:P168 O171:P206 O208:P262 O269:P273 O275:P372 O429:P462">
      <formula1>"是,否"</formula1>
    </dataValidation>
    <dataValidation type="list" allowBlank="1" showInputMessage="1" showErrorMessage="1" sqref="K44 K69 K81 K145 K188 K202 K227 J269:J320 K269:K325">
      <formula1>"摔伤类,机械类,坠落类,砸伤类,割伤类,撞伤类,火灾类,电气类,疾病类,场内交通类,场外交通类,劳动损伤类,其他类"</formula1>
    </dataValidation>
    <dataValidation type="list" allowBlank="1" showInputMessage="1" showErrorMessage="1" sqref="L113 L167:L168 L170:L193 L195:L206 L208:L216 L218:L225 L227:L229 L232:L262">
      <formula1>"责任,无责"</formula1>
    </dataValidation>
    <dataValidation type="list" allowBlank="1" showInputMessage="1" showErrorMessage="1" sqref="M113 M227 M228:N228 M276 M287 M167:M168 M170:M193 M195:M206 M208:M216 M218:M225 M229:M262 M269:M272 M278:M280 M282:M285">
      <formula1>"个人,中心,三方,车队,网点,车队,-,火灾"</formula1>
    </dataValidation>
    <dataValidation type="list" allowBlank="1" showInputMessage="1" showErrorMessage="1" sqref="K187">
      <formula1>"摔伤类,机械类,坠落类,砸伤类,割伤类,撞伤类,火灾类,电气类,疾病类,场内交通类,场外交通类,劳动损伤类,其他类,中暑类"</formula1>
    </dataValidation>
    <dataValidation type="list" allowBlank="1" showInputMessage="1" showErrorMessage="1" sqref="J257 J2:J101 J259:J260 J262:J263 J265:J268 J321:J462">
      <formula1>"摔伤类,机械类,坠落类,砸伤类,割伤类,撞伤类,火灾类,电气类,疾病类,场内交通类,场外交通类,劳动损伤类,中毒窒息类,其他类"</formula1>
    </dataValidation>
    <dataValidation type="list" allowBlank="1" showInputMessage="1" showErrorMessage="1" sqref="J258 J261">
      <formula1>"摔伤类,机械类,坠落类,砸伤类,割伤类,撞伤类,火灾类,电气类,疾病类,场内交通类,场外交通类,劳动损伤类,中毒窒息类,其他类,中暑类"</formula1>
    </dataValidation>
    <dataValidation type="list" allowBlank="1" showInputMessage="1" showErrorMessage="1" sqref="J264 J102:J256">
      <formula1>"摔伤类,机械类,坠落类,砸伤类,割伤类,撞伤类,火灾类,电气类,疾病类,场内交通类,场外交通类,劳动损伤类,中毒窒息化学灼伤类,其他类,中暑类"</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N277"/>
  <sheetViews>
    <sheetView workbookViewId="0">
      <selection activeCell="A1" sqref="$A1:$XFD1"/>
    </sheetView>
  </sheetViews>
  <sheetFormatPr defaultColWidth="9" defaultRowHeight="16.8"/>
  <cols>
    <col min="1" max="1" width="4.375" customWidth="1"/>
    <col min="2" max="2" width="9.625" style="4" customWidth="1"/>
    <col min="3" max="3" width="5.875" customWidth="1"/>
    <col min="4" max="4" width="16.125" customWidth="1"/>
    <col min="5" max="5" width="7.375" customWidth="1"/>
    <col min="6" max="6" width="12.125" customWidth="1"/>
    <col min="7" max="7" width="8.375" customWidth="1"/>
    <col min="8" max="8" width="38.5" customWidth="1"/>
    <col min="9" max="9" width="5.875" customWidth="1"/>
    <col min="10" max="10" width="12.75" customWidth="1"/>
    <col min="11" max="11" width="7.375" customWidth="1"/>
    <col min="12" max="13" width="13.75" customWidth="1"/>
    <col min="14" max="14" width="27.375" customWidth="1"/>
  </cols>
  <sheetData>
    <row r="1" spans="1:14">
      <c r="A1" s="5" t="s">
        <v>25</v>
      </c>
      <c r="B1" s="6" t="s">
        <v>1517</v>
      </c>
      <c r="C1" s="5" t="s">
        <v>1518</v>
      </c>
      <c r="D1" s="5" t="s">
        <v>1519</v>
      </c>
      <c r="E1" s="5" t="s">
        <v>1520</v>
      </c>
      <c r="F1" s="5" t="s">
        <v>1521</v>
      </c>
      <c r="G1" s="5" t="s">
        <v>1522</v>
      </c>
      <c r="H1" s="5" t="s">
        <v>1523</v>
      </c>
      <c r="I1" s="5" t="s">
        <v>1524</v>
      </c>
      <c r="J1" s="5" t="s">
        <v>1525</v>
      </c>
      <c r="K1" s="5" t="s">
        <v>1526</v>
      </c>
      <c r="L1" s="5" t="s">
        <v>1527</v>
      </c>
      <c r="M1" s="5" t="s">
        <v>1528</v>
      </c>
      <c r="N1" s="5" t="s">
        <v>41</v>
      </c>
    </row>
    <row r="2" hidden="1" spans="1:14">
      <c r="A2" s="5">
        <v>1</v>
      </c>
      <c r="B2" s="6">
        <v>45661</v>
      </c>
      <c r="C2" s="5" t="s">
        <v>373</v>
      </c>
      <c r="D2" s="5" t="s">
        <v>372</v>
      </c>
      <c r="E2" s="5" t="s">
        <v>1529</v>
      </c>
      <c r="F2" s="5" t="s">
        <v>1530</v>
      </c>
      <c r="G2" s="5"/>
      <c r="H2" s="5" t="s">
        <v>1531</v>
      </c>
      <c r="I2" s="5" t="s">
        <v>1532</v>
      </c>
      <c r="J2" s="5" t="s">
        <v>1533</v>
      </c>
      <c r="K2" s="5"/>
      <c r="L2" s="5"/>
      <c r="M2" s="5" t="s">
        <v>53</v>
      </c>
      <c r="N2" s="5"/>
    </row>
    <row r="3" hidden="1" spans="1:14">
      <c r="A3" s="5">
        <v>2</v>
      </c>
      <c r="B3" s="6">
        <v>45661</v>
      </c>
      <c r="C3" s="5" t="s">
        <v>63</v>
      </c>
      <c r="D3" s="5" t="s">
        <v>263</v>
      </c>
      <c r="E3" s="5" t="s">
        <v>1529</v>
      </c>
      <c r="F3" s="5" t="s">
        <v>1530</v>
      </c>
      <c r="G3" s="5"/>
      <c r="H3" s="5" t="s">
        <v>1534</v>
      </c>
      <c r="I3" s="5" t="s">
        <v>1535</v>
      </c>
      <c r="J3" s="5" t="s">
        <v>1533</v>
      </c>
      <c r="K3" s="5"/>
      <c r="L3" s="5"/>
      <c r="M3" s="5" t="s">
        <v>53</v>
      </c>
      <c r="N3" s="5"/>
    </row>
    <row r="4" hidden="1" spans="1:14">
      <c r="A4" s="5">
        <v>3</v>
      </c>
      <c r="B4" s="6">
        <v>45666</v>
      </c>
      <c r="C4" s="5" t="s">
        <v>124</v>
      </c>
      <c r="D4" s="5" t="s">
        <v>1536</v>
      </c>
      <c r="E4" s="5" t="s">
        <v>1537</v>
      </c>
      <c r="F4" s="5" t="s">
        <v>1238</v>
      </c>
      <c r="G4" s="5"/>
      <c r="H4" s="5" t="s">
        <v>1538</v>
      </c>
      <c r="I4" s="5" t="s">
        <v>1539</v>
      </c>
      <c r="J4" s="5" t="s">
        <v>1533</v>
      </c>
      <c r="K4" s="5"/>
      <c r="L4" s="5"/>
      <c r="M4" s="5" t="s">
        <v>53</v>
      </c>
      <c r="N4" s="5" t="s">
        <v>1540</v>
      </c>
    </row>
    <row r="5" hidden="1" spans="1:14">
      <c r="A5" s="5">
        <v>4</v>
      </c>
      <c r="B5" s="6">
        <v>45671</v>
      </c>
      <c r="C5" s="5" t="s">
        <v>124</v>
      </c>
      <c r="D5" s="5" t="s">
        <v>1503</v>
      </c>
      <c r="E5" s="5" t="s">
        <v>1541</v>
      </c>
      <c r="F5" s="5" t="s">
        <v>1542</v>
      </c>
      <c r="G5" s="5"/>
      <c r="H5" s="5" t="s">
        <v>1543</v>
      </c>
      <c r="I5" s="5" t="s">
        <v>1539</v>
      </c>
      <c r="J5" s="5" t="s">
        <v>1544</v>
      </c>
      <c r="K5" s="5"/>
      <c r="L5" s="5"/>
      <c r="M5" s="5" t="s">
        <v>52</v>
      </c>
      <c r="N5" s="5" t="s">
        <v>1545</v>
      </c>
    </row>
    <row r="6" hidden="1" spans="1:14">
      <c r="A6" s="5">
        <v>5</v>
      </c>
      <c r="B6" s="6">
        <v>45672</v>
      </c>
      <c r="C6" s="5" t="s">
        <v>103</v>
      </c>
      <c r="D6" s="5" t="s">
        <v>1546</v>
      </c>
      <c r="E6" s="5" t="s">
        <v>1547</v>
      </c>
      <c r="F6" s="5" t="s">
        <v>1548</v>
      </c>
      <c r="G6" s="5"/>
      <c r="H6" s="5" t="s">
        <v>1549</v>
      </c>
      <c r="I6" s="5" t="s">
        <v>1550</v>
      </c>
      <c r="J6" s="5" t="s">
        <v>1533</v>
      </c>
      <c r="K6" s="5"/>
      <c r="L6" s="5"/>
      <c r="M6" s="5" t="s">
        <v>53</v>
      </c>
      <c r="N6" s="5"/>
    </row>
    <row r="7" hidden="1" spans="1:14">
      <c r="A7" s="5">
        <v>6</v>
      </c>
      <c r="B7" s="6">
        <v>45673</v>
      </c>
      <c r="C7" s="5" t="s">
        <v>80</v>
      </c>
      <c r="D7" s="5" t="s">
        <v>1551</v>
      </c>
      <c r="E7" s="5" t="s">
        <v>1547</v>
      </c>
      <c r="F7" s="5" t="s">
        <v>1548</v>
      </c>
      <c r="G7" s="5"/>
      <c r="H7" s="5" t="s">
        <v>1552</v>
      </c>
      <c r="I7" s="5" t="s">
        <v>1553</v>
      </c>
      <c r="J7" s="5" t="s">
        <v>1533</v>
      </c>
      <c r="K7" s="5"/>
      <c r="L7" s="5"/>
      <c r="M7" s="5" t="s">
        <v>53</v>
      </c>
      <c r="N7" s="5"/>
    </row>
    <row r="8" hidden="1" spans="1:14">
      <c r="A8" s="5">
        <v>7</v>
      </c>
      <c r="B8" s="6">
        <v>45673</v>
      </c>
      <c r="C8" s="5" t="s">
        <v>1151</v>
      </c>
      <c r="D8" s="5" t="s">
        <v>1554</v>
      </c>
      <c r="E8" s="5" t="s">
        <v>1541</v>
      </c>
      <c r="F8" s="5" t="s">
        <v>1555</v>
      </c>
      <c r="G8" s="5"/>
      <c r="H8" s="5" t="s">
        <v>1556</v>
      </c>
      <c r="I8" s="5" t="s">
        <v>1557</v>
      </c>
      <c r="J8" s="5" t="s">
        <v>1558</v>
      </c>
      <c r="K8" s="5"/>
      <c r="L8" s="5"/>
      <c r="M8" s="5" t="s">
        <v>53</v>
      </c>
      <c r="N8" s="5" t="s">
        <v>1559</v>
      </c>
    </row>
    <row r="9" hidden="1" spans="1:14">
      <c r="A9" s="5">
        <v>8</v>
      </c>
      <c r="B9" s="6">
        <v>45674</v>
      </c>
      <c r="C9" s="5" t="s">
        <v>124</v>
      </c>
      <c r="D9" s="5" t="s">
        <v>1560</v>
      </c>
      <c r="E9" s="5" t="s">
        <v>1541</v>
      </c>
      <c r="F9" s="5" t="s">
        <v>1561</v>
      </c>
      <c r="G9" s="5"/>
      <c r="H9" s="5" t="s">
        <v>1562</v>
      </c>
      <c r="I9" s="5" t="s">
        <v>1539</v>
      </c>
      <c r="J9" s="5" t="s">
        <v>1544</v>
      </c>
      <c r="K9" s="5"/>
      <c r="L9" s="5"/>
      <c r="M9" s="5" t="s">
        <v>53</v>
      </c>
      <c r="N9" s="5"/>
    </row>
    <row r="10" hidden="1" spans="1:14">
      <c r="A10" s="5">
        <v>9</v>
      </c>
      <c r="B10" s="6">
        <v>45676</v>
      </c>
      <c r="C10" s="5" t="s">
        <v>80</v>
      </c>
      <c r="D10" s="5" t="s">
        <v>1563</v>
      </c>
      <c r="E10" s="5" t="s">
        <v>1529</v>
      </c>
      <c r="F10" s="5" t="s">
        <v>1530</v>
      </c>
      <c r="G10" s="5"/>
      <c r="H10" s="5" t="s">
        <v>1564</v>
      </c>
      <c r="I10" s="5" t="s">
        <v>1553</v>
      </c>
      <c r="J10" s="5" t="s">
        <v>1533</v>
      </c>
      <c r="K10" s="5"/>
      <c r="L10" s="5"/>
      <c r="M10" s="5" t="s">
        <v>53</v>
      </c>
      <c r="N10" s="5"/>
    </row>
    <row r="11" hidden="1" spans="1:14">
      <c r="A11" s="5">
        <v>10</v>
      </c>
      <c r="B11" s="6">
        <v>45678</v>
      </c>
      <c r="C11" s="5" t="s">
        <v>80</v>
      </c>
      <c r="D11" s="5" t="s">
        <v>1551</v>
      </c>
      <c r="E11" s="5" t="s">
        <v>1529</v>
      </c>
      <c r="F11" s="5" t="s">
        <v>1530</v>
      </c>
      <c r="G11" s="5"/>
      <c r="H11" s="5" t="s">
        <v>1565</v>
      </c>
      <c r="I11" s="5" t="s">
        <v>1553</v>
      </c>
      <c r="J11" s="5" t="s">
        <v>1533</v>
      </c>
      <c r="K11" s="5"/>
      <c r="L11" s="5"/>
      <c r="M11" s="5" t="s">
        <v>53</v>
      </c>
      <c r="N11" s="5"/>
    </row>
    <row r="12" hidden="1" spans="1:14">
      <c r="A12" s="5">
        <v>11</v>
      </c>
      <c r="B12" s="6">
        <v>45681</v>
      </c>
      <c r="C12" s="5" t="s">
        <v>1141</v>
      </c>
      <c r="D12" s="5" t="s">
        <v>1329</v>
      </c>
      <c r="E12" s="5" t="s">
        <v>1547</v>
      </c>
      <c r="F12" s="5" t="s">
        <v>1548</v>
      </c>
      <c r="G12" s="5"/>
      <c r="H12" s="5" t="s">
        <v>1566</v>
      </c>
      <c r="I12" s="5" t="s">
        <v>1567</v>
      </c>
      <c r="J12" s="5" t="s">
        <v>1533</v>
      </c>
      <c r="K12" s="5"/>
      <c r="L12" s="5"/>
      <c r="M12" s="5" t="s">
        <v>53</v>
      </c>
      <c r="N12" s="5"/>
    </row>
    <row r="13" hidden="1" spans="1:14">
      <c r="A13" s="5">
        <v>12</v>
      </c>
      <c r="B13" s="6">
        <v>45684</v>
      </c>
      <c r="C13" s="5" t="s">
        <v>63</v>
      </c>
      <c r="D13" s="5" t="s">
        <v>1568</v>
      </c>
      <c r="E13" s="5" t="s">
        <v>1529</v>
      </c>
      <c r="F13" s="5" t="s">
        <v>1530</v>
      </c>
      <c r="G13" s="5"/>
      <c r="H13" s="5" t="s">
        <v>1569</v>
      </c>
      <c r="I13" s="5" t="s">
        <v>1535</v>
      </c>
      <c r="J13" s="5" t="s">
        <v>1533</v>
      </c>
      <c r="K13" s="5"/>
      <c r="L13" s="5"/>
      <c r="M13" s="5" t="s">
        <v>53</v>
      </c>
      <c r="N13" s="5"/>
    </row>
    <row r="14" hidden="1" spans="1:14">
      <c r="A14" s="5">
        <v>13</v>
      </c>
      <c r="B14" s="6">
        <v>45685</v>
      </c>
      <c r="C14" s="5" t="s">
        <v>56</v>
      </c>
      <c r="D14" s="5" t="s">
        <v>1570</v>
      </c>
      <c r="E14" s="5" t="s">
        <v>1541</v>
      </c>
      <c r="F14" s="5" t="s">
        <v>1555</v>
      </c>
      <c r="G14" s="5"/>
      <c r="H14" s="5" t="s">
        <v>1571</v>
      </c>
      <c r="I14" s="5" t="s">
        <v>1572</v>
      </c>
      <c r="J14" s="5" t="s">
        <v>1533</v>
      </c>
      <c r="K14" s="5"/>
      <c r="L14" s="5"/>
      <c r="M14" s="5" t="s">
        <v>53</v>
      </c>
      <c r="N14" s="5" t="s">
        <v>1559</v>
      </c>
    </row>
    <row r="15" hidden="1" spans="1:14">
      <c r="A15" s="5">
        <v>14</v>
      </c>
      <c r="B15" s="6">
        <v>45686</v>
      </c>
      <c r="C15" s="5" t="s">
        <v>124</v>
      </c>
      <c r="D15" s="5" t="s">
        <v>1382</v>
      </c>
      <c r="E15" s="5" t="s">
        <v>1541</v>
      </c>
      <c r="F15" s="5" t="s">
        <v>1573</v>
      </c>
      <c r="G15" s="5"/>
      <c r="H15" s="5" t="s">
        <v>1574</v>
      </c>
      <c r="I15" s="5" t="s">
        <v>1539</v>
      </c>
      <c r="J15" s="5" t="s">
        <v>1533</v>
      </c>
      <c r="K15" s="5"/>
      <c r="L15" s="5"/>
      <c r="M15" s="5" t="s">
        <v>53</v>
      </c>
      <c r="N15" s="5"/>
    </row>
    <row r="16" hidden="1" spans="1:14">
      <c r="A16" s="5">
        <v>15</v>
      </c>
      <c r="B16" s="6">
        <v>45688</v>
      </c>
      <c r="C16" s="5" t="s">
        <v>1141</v>
      </c>
      <c r="D16" s="5" t="s">
        <v>1575</v>
      </c>
      <c r="E16" s="5" t="s">
        <v>1541</v>
      </c>
      <c r="F16" s="5" t="s">
        <v>1555</v>
      </c>
      <c r="G16" s="5"/>
      <c r="H16" s="5" t="s">
        <v>1576</v>
      </c>
      <c r="I16" s="5" t="s">
        <v>1567</v>
      </c>
      <c r="J16" s="5" t="s">
        <v>1533</v>
      </c>
      <c r="K16" s="5"/>
      <c r="L16" s="5"/>
      <c r="M16" s="5" t="s">
        <v>53</v>
      </c>
      <c r="N16" s="5"/>
    </row>
    <row r="17" hidden="1" spans="1:14">
      <c r="A17" s="5">
        <v>16</v>
      </c>
      <c r="B17" s="6">
        <v>45690</v>
      </c>
      <c r="C17" s="5" t="s">
        <v>124</v>
      </c>
      <c r="D17" s="5" t="s">
        <v>1503</v>
      </c>
      <c r="E17" s="5" t="s">
        <v>1529</v>
      </c>
      <c r="F17" s="5" t="s">
        <v>1530</v>
      </c>
      <c r="G17" s="5"/>
      <c r="H17" s="5" t="s">
        <v>1577</v>
      </c>
      <c r="I17" s="5" t="s">
        <v>1539</v>
      </c>
      <c r="J17" s="5" t="s">
        <v>1533</v>
      </c>
      <c r="K17" s="5"/>
      <c r="L17" s="5"/>
      <c r="M17" s="5" t="s">
        <v>53</v>
      </c>
      <c r="N17" s="5"/>
    </row>
    <row r="18" hidden="1" spans="1:14">
      <c r="A18" s="5">
        <v>17</v>
      </c>
      <c r="B18" s="6">
        <v>45705</v>
      </c>
      <c r="C18" s="5" t="s">
        <v>155</v>
      </c>
      <c r="D18" s="5" t="s">
        <v>1236</v>
      </c>
      <c r="E18" s="5" t="s">
        <v>1541</v>
      </c>
      <c r="F18" s="5" t="s">
        <v>1555</v>
      </c>
      <c r="G18" s="5"/>
      <c r="H18" s="5" t="s">
        <v>1578</v>
      </c>
      <c r="I18" s="5" t="s">
        <v>1579</v>
      </c>
      <c r="J18" s="5" t="s">
        <v>1544</v>
      </c>
      <c r="K18" s="5"/>
      <c r="L18" s="5"/>
      <c r="M18" s="5" t="s">
        <v>53</v>
      </c>
      <c r="N18" s="5"/>
    </row>
    <row r="19" hidden="1" spans="1:14">
      <c r="A19" s="5">
        <v>18</v>
      </c>
      <c r="B19" s="6">
        <v>45707</v>
      </c>
      <c r="C19" s="5" t="s">
        <v>373</v>
      </c>
      <c r="D19" s="5" t="s">
        <v>1580</v>
      </c>
      <c r="E19" s="5" t="s">
        <v>1537</v>
      </c>
      <c r="F19" s="5" t="s">
        <v>1238</v>
      </c>
      <c r="G19" s="5"/>
      <c r="H19" s="5" t="s">
        <v>1581</v>
      </c>
      <c r="I19" s="5" t="s">
        <v>1532</v>
      </c>
      <c r="J19" s="5" t="s">
        <v>1533</v>
      </c>
      <c r="K19" s="5"/>
      <c r="L19" s="5"/>
      <c r="M19" s="5" t="s">
        <v>53</v>
      </c>
      <c r="N19" s="5" t="s">
        <v>1540</v>
      </c>
    </row>
    <row r="20" hidden="1" spans="1:14">
      <c r="A20" s="5">
        <v>19</v>
      </c>
      <c r="B20" s="6">
        <v>45708</v>
      </c>
      <c r="C20" s="5" t="s">
        <v>115</v>
      </c>
      <c r="D20" s="5" t="s">
        <v>979</v>
      </c>
      <c r="E20" s="5" t="s">
        <v>1547</v>
      </c>
      <c r="F20" s="5" t="s">
        <v>1548</v>
      </c>
      <c r="G20" s="5"/>
      <c r="H20" s="5" t="s">
        <v>1582</v>
      </c>
      <c r="I20" s="5" t="s">
        <v>1583</v>
      </c>
      <c r="J20" s="5" t="s">
        <v>1533</v>
      </c>
      <c r="K20" s="5"/>
      <c r="L20" s="5"/>
      <c r="M20" s="5" t="s">
        <v>53</v>
      </c>
      <c r="N20" s="5" t="s">
        <v>1584</v>
      </c>
    </row>
    <row r="21" hidden="1" spans="1:14">
      <c r="A21" s="5">
        <v>20</v>
      </c>
      <c r="B21" s="6">
        <v>45713</v>
      </c>
      <c r="C21" s="5" t="s">
        <v>115</v>
      </c>
      <c r="D21" s="5" t="s">
        <v>1322</v>
      </c>
      <c r="E21" s="5" t="s">
        <v>1541</v>
      </c>
      <c r="F21" s="5" t="s">
        <v>1542</v>
      </c>
      <c r="G21" s="5"/>
      <c r="H21" s="5" t="s">
        <v>1585</v>
      </c>
      <c r="I21" s="5" t="s">
        <v>1583</v>
      </c>
      <c r="J21" s="5" t="s">
        <v>1544</v>
      </c>
      <c r="K21" s="5"/>
      <c r="L21" s="5"/>
      <c r="M21" s="5" t="s">
        <v>52</v>
      </c>
      <c r="N21" s="5" t="s">
        <v>1586</v>
      </c>
    </row>
    <row r="22" hidden="1" spans="1:14">
      <c r="A22" s="5">
        <v>21</v>
      </c>
      <c r="B22" s="6">
        <v>45716</v>
      </c>
      <c r="C22" s="5" t="s">
        <v>103</v>
      </c>
      <c r="D22" s="5" t="s">
        <v>1587</v>
      </c>
      <c r="E22" s="5" t="s">
        <v>1529</v>
      </c>
      <c r="F22" s="5" t="s">
        <v>1588</v>
      </c>
      <c r="G22" s="5"/>
      <c r="H22" s="5" t="s">
        <v>1589</v>
      </c>
      <c r="I22" s="5" t="s">
        <v>1550</v>
      </c>
      <c r="J22" s="5" t="s">
        <v>1533</v>
      </c>
      <c r="K22" s="5"/>
      <c r="L22" s="5"/>
      <c r="M22" s="5" t="s">
        <v>53</v>
      </c>
      <c r="N22" s="5"/>
    </row>
    <row r="23" hidden="1" spans="1:14">
      <c r="A23" s="5">
        <v>22</v>
      </c>
      <c r="B23" s="6">
        <v>45722</v>
      </c>
      <c r="C23" s="5" t="s">
        <v>74</v>
      </c>
      <c r="D23" s="5" t="s">
        <v>1129</v>
      </c>
      <c r="E23" s="5" t="s">
        <v>1541</v>
      </c>
      <c r="F23" s="5" t="s">
        <v>1573</v>
      </c>
      <c r="G23" s="5"/>
      <c r="H23" s="5" t="s">
        <v>1590</v>
      </c>
      <c r="I23" s="5" t="s">
        <v>1591</v>
      </c>
      <c r="J23" s="5" t="s">
        <v>1533</v>
      </c>
      <c r="K23" s="5" t="s">
        <v>1592</v>
      </c>
      <c r="L23" s="5">
        <v>1500</v>
      </c>
      <c r="M23" s="5" t="s">
        <v>53</v>
      </c>
      <c r="N23" s="5"/>
    </row>
    <row r="24" hidden="1" spans="1:14">
      <c r="A24" s="5">
        <v>23</v>
      </c>
      <c r="B24" s="6">
        <v>45724</v>
      </c>
      <c r="C24" s="5" t="s">
        <v>74</v>
      </c>
      <c r="D24" s="5" t="s">
        <v>1129</v>
      </c>
      <c r="E24" s="5" t="s">
        <v>1529</v>
      </c>
      <c r="F24" s="5" t="s">
        <v>1593</v>
      </c>
      <c r="G24" s="5"/>
      <c r="H24" s="5" t="s">
        <v>1594</v>
      </c>
      <c r="I24" s="5" t="s">
        <v>1591</v>
      </c>
      <c r="J24" s="5" t="s">
        <v>1544</v>
      </c>
      <c r="K24" s="5" t="s">
        <v>1595</v>
      </c>
      <c r="L24" s="5" t="s">
        <v>1596</v>
      </c>
      <c r="M24" s="5" t="s">
        <v>52</v>
      </c>
      <c r="N24" s="5" t="s">
        <v>1597</v>
      </c>
    </row>
    <row r="25" hidden="1" spans="1:14">
      <c r="A25" s="5">
        <v>24</v>
      </c>
      <c r="B25" s="6">
        <v>45726</v>
      </c>
      <c r="C25" s="5" t="s">
        <v>90</v>
      </c>
      <c r="D25" s="5" t="s">
        <v>1598</v>
      </c>
      <c r="E25" s="5" t="s">
        <v>1541</v>
      </c>
      <c r="F25" s="5" t="s">
        <v>1599</v>
      </c>
      <c r="G25" s="5"/>
      <c r="H25" s="5" t="s">
        <v>1600</v>
      </c>
      <c r="I25" s="5" t="s">
        <v>1601</v>
      </c>
      <c r="J25" s="5" t="s">
        <v>1558</v>
      </c>
      <c r="K25" s="5"/>
      <c r="L25" s="5"/>
      <c r="M25" s="5" t="s">
        <v>52</v>
      </c>
      <c r="N25" s="5" t="s">
        <v>1602</v>
      </c>
    </row>
    <row r="26" hidden="1" spans="1:14">
      <c r="A26" s="5">
        <v>25</v>
      </c>
      <c r="B26" s="6">
        <v>45726</v>
      </c>
      <c r="C26" s="5" t="s">
        <v>1141</v>
      </c>
      <c r="D26" s="5" t="s">
        <v>1603</v>
      </c>
      <c r="E26" s="5" t="s">
        <v>1547</v>
      </c>
      <c r="F26" s="5" t="s">
        <v>1548</v>
      </c>
      <c r="G26" s="5"/>
      <c r="H26" s="5" t="s">
        <v>1604</v>
      </c>
      <c r="I26" s="5" t="s">
        <v>1567</v>
      </c>
      <c r="J26" s="5" t="s">
        <v>1533</v>
      </c>
      <c r="K26" s="5"/>
      <c r="L26" s="5"/>
      <c r="M26" s="5" t="s">
        <v>53</v>
      </c>
      <c r="N26" s="5" t="s">
        <v>1605</v>
      </c>
    </row>
    <row r="27" hidden="1" spans="1:14">
      <c r="A27" s="5">
        <v>26</v>
      </c>
      <c r="B27" s="6">
        <v>45725</v>
      </c>
      <c r="C27" s="5" t="s">
        <v>46</v>
      </c>
      <c r="D27" s="5" t="s">
        <v>1606</v>
      </c>
      <c r="E27" s="5" t="s">
        <v>1541</v>
      </c>
      <c r="F27" s="5" t="s">
        <v>1555</v>
      </c>
      <c r="G27" s="5"/>
      <c r="H27" s="5" t="s">
        <v>1607</v>
      </c>
      <c r="I27" s="5" t="s">
        <v>1608</v>
      </c>
      <c r="J27" s="5" t="s">
        <v>1544</v>
      </c>
      <c r="K27" s="5" t="s">
        <v>1609</v>
      </c>
      <c r="L27" s="5">
        <v>461</v>
      </c>
      <c r="M27" s="5" t="s">
        <v>53</v>
      </c>
      <c r="N27" s="5"/>
    </row>
    <row r="28" hidden="1" spans="1:14">
      <c r="A28" s="5">
        <v>27</v>
      </c>
      <c r="B28" s="6">
        <v>45727</v>
      </c>
      <c r="C28" s="5" t="s">
        <v>373</v>
      </c>
      <c r="D28" s="5" t="s">
        <v>1580</v>
      </c>
      <c r="E28" s="5" t="s">
        <v>1610</v>
      </c>
      <c r="F28" s="5" t="s">
        <v>1611</v>
      </c>
      <c r="G28" s="5"/>
      <c r="H28" s="5" t="s">
        <v>1612</v>
      </c>
      <c r="I28" s="5" t="s">
        <v>1532</v>
      </c>
      <c r="J28" s="5" t="s">
        <v>1544</v>
      </c>
      <c r="K28" s="5">
        <v>0</v>
      </c>
      <c r="L28" s="5"/>
      <c r="M28" s="5" t="s">
        <v>52</v>
      </c>
      <c r="N28" s="5" t="s">
        <v>1613</v>
      </c>
    </row>
    <row r="29" hidden="1" spans="1:14">
      <c r="A29" s="5">
        <v>28</v>
      </c>
      <c r="B29" s="6">
        <v>45729</v>
      </c>
      <c r="C29" s="5" t="s">
        <v>124</v>
      </c>
      <c r="D29" s="5" t="s">
        <v>1382</v>
      </c>
      <c r="E29" s="5" t="s">
        <v>1541</v>
      </c>
      <c r="F29" s="5" t="s">
        <v>1573</v>
      </c>
      <c r="G29" s="5"/>
      <c r="H29" s="5" t="s">
        <v>1614</v>
      </c>
      <c r="I29" s="5" t="s">
        <v>1539</v>
      </c>
      <c r="J29" s="5" t="s">
        <v>1544</v>
      </c>
      <c r="K29" s="5"/>
      <c r="L29" s="5"/>
      <c r="M29" s="5" t="s">
        <v>53</v>
      </c>
      <c r="N29" s="5"/>
    </row>
    <row r="30" hidden="1" spans="1:14">
      <c r="A30" s="5">
        <v>29</v>
      </c>
      <c r="B30" s="6">
        <v>45730</v>
      </c>
      <c r="C30" s="5" t="s">
        <v>103</v>
      </c>
      <c r="D30" s="5" t="s">
        <v>1615</v>
      </c>
      <c r="E30" s="5" t="s">
        <v>1541</v>
      </c>
      <c r="F30" s="5" t="s">
        <v>1573</v>
      </c>
      <c r="G30" s="5"/>
      <c r="H30" s="5" t="s">
        <v>1616</v>
      </c>
      <c r="I30" s="5" t="s">
        <v>1550</v>
      </c>
      <c r="J30" s="5" t="s">
        <v>1544</v>
      </c>
      <c r="K30" s="5"/>
      <c r="L30" s="5"/>
      <c r="M30" s="5" t="s">
        <v>53</v>
      </c>
      <c r="N30" s="5"/>
    </row>
    <row r="31" hidden="1" spans="1:14">
      <c r="A31" s="5">
        <v>30</v>
      </c>
      <c r="B31" s="6">
        <v>45731</v>
      </c>
      <c r="C31" s="5" t="s">
        <v>124</v>
      </c>
      <c r="D31" s="5" t="s">
        <v>1617</v>
      </c>
      <c r="E31" s="5" t="s">
        <v>1541</v>
      </c>
      <c r="F31" s="5" t="s">
        <v>1573</v>
      </c>
      <c r="G31" s="5"/>
      <c r="H31" s="5" t="s">
        <v>1618</v>
      </c>
      <c r="I31" s="5" t="s">
        <v>1539</v>
      </c>
      <c r="J31" s="5" t="s">
        <v>1544</v>
      </c>
      <c r="K31" s="5" t="s">
        <v>1619</v>
      </c>
      <c r="L31" s="5">
        <v>1035</v>
      </c>
      <c r="M31" s="5" t="s">
        <v>53</v>
      </c>
      <c r="N31" s="5"/>
    </row>
    <row r="32" hidden="1" spans="1:14">
      <c r="A32" s="5">
        <v>31</v>
      </c>
      <c r="B32" s="6">
        <v>45732</v>
      </c>
      <c r="C32" s="5" t="s">
        <v>80</v>
      </c>
      <c r="D32" s="5" t="s">
        <v>1563</v>
      </c>
      <c r="E32" s="5" t="s">
        <v>1541</v>
      </c>
      <c r="F32" s="5" t="s">
        <v>1542</v>
      </c>
      <c r="G32" s="5"/>
      <c r="H32" s="5" t="s">
        <v>1620</v>
      </c>
      <c r="I32" s="5" t="s">
        <v>1553</v>
      </c>
      <c r="J32" s="5" t="s">
        <v>1544</v>
      </c>
      <c r="K32" s="5"/>
      <c r="L32" s="5"/>
      <c r="M32" s="5" t="s">
        <v>52</v>
      </c>
      <c r="N32" s="5"/>
    </row>
    <row r="33" hidden="1" spans="1:14">
      <c r="A33" s="5">
        <v>32</v>
      </c>
      <c r="B33" s="6">
        <v>45733</v>
      </c>
      <c r="C33" s="5" t="s">
        <v>124</v>
      </c>
      <c r="D33" s="5" t="s">
        <v>1617</v>
      </c>
      <c r="E33" s="5" t="s">
        <v>1541</v>
      </c>
      <c r="F33" s="5" t="s">
        <v>1573</v>
      </c>
      <c r="G33" s="5"/>
      <c r="H33" s="5" t="s">
        <v>1621</v>
      </c>
      <c r="I33" s="5" t="s">
        <v>1539</v>
      </c>
      <c r="J33" s="5" t="s">
        <v>1544</v>
      </c>
      <c r="K33" s="5"/>
      <c r="L33" s="5"/>
      <c r="M33" s="5" t="s">
        <v>53</v>
      </c>
      <c r="N33" s="5"/>
    </row>
    <row r="34" hidden="1" spans="1:14">
      <c r="A34" s="5">
        <v>33</v>
      </c>
      <c r="B34" s="6">
        <v>45734</v>
      </c>
      <c r="C34" s="5" t="s">
        <v>103</v>
      </c>
      <c r="D34" s="5" t="s">
        <v>1587</v>
      </c>
      <c r="E34" s="5" t="s">
        <v>1541</v>
      </c>
      <c r="F34" s="5" t="s">
        <v>1555</v>
      </c>
      <c r="G34" s="5"/>
      <c r="H34" s="5" t="s">
        <v>1622</v>
      </c>
      <c r="I34" s="5" t="s">
        <v>1550</v>
      </c>
      <c r="J34" s="5" t="s">
        <v>1544</v>
      </c>
      <c r="K34" s="5"/>
      <c r="L34" s="5"/>
      <c r="M34" s="5" t="s">
        <v>52</v>
      </c>
      <c r="N34" s="5"/>
    </row>
    <row r="35" hidden="1" spans="1:14">
      <c r="A35" s="5">
        <v>34</v>
      </c>
      <c r="B35" s="6">
        <v>45735</v>
      </c>
      <c r="C35" s="5" t="s">
        <v>155</v>
      </c>
      <c r="D35" s="5" t="s">
        <v>1290</v>
      </c>
      <c r="E35" s="5" t="s">
        <v>1529</v>
      </c>
      <c r="F35" s="5" t="s">
        <v>1530</v>
      </c>
      <c r="G35" s="5"/>
      <c r="H35" s="5" t="s">
        <v>1623</v>
      </c>
      <c r="I35" s="5" t="s">
        <v>1624</v>
      </c>
      <c r="J35" s="5" t="s">
        <v>1533</v>
      </c>
      <c r="K35" s="5"/>
      <c r="L35" s="5"/>
      <c r="M35" s="5" t="s">
        <v>53</v>
      </c>
      <c r="N35" s="5"/>
    </row>
    <row r="36" hidden="1" spans="1:14">
      <c r="A36" s="5">
        <v>35</v>
      </c>
      <c r="B36" s="6">
        <v>45735</v>
      </c>
      <c r="C36" s="5" t="s">
        <v>274</v>
      </c>
      <c r="D36" s="5" t="s">
        <v>1028</v>
      </c>
      <c r="E36" s="5" t="s">
        <v>1547</v>
      </c>
      <c r="F36" s="5" t="s">
        <v>1548</v>
      </c>
      <c r="G36" s="5"/>
      <c r="H36" s="5" t="s">
        <v>1625</v>
      </c>
      <c r="I36" s="5" t="s">
        <v>1626</v>
      </c>
      <c r="J36" s="5" t="s">
        <v>1533</v>
      </c>
      <c r="K36" s="5"/>
      <c r="L36" s="5"/>
      <c r="M36" s="5" t="s">
        <v>53</v>
      </c>
      <c r="N36" s="5"/>
    </row>
    <row r="37" hidden="1" spans="1:14">
      <c r="A37" s="5">
        <v>36</v>
      </c>
      <c r="B37" s="6">
        <v>45737</v>
      </c>
      <c r="C37" s="5" t="s">
        <v>155</v>
      </c>
      <c r="D37" s="5" t="s">
        <v>1627</v>
      </c>
      <c r="E37" s="5" t="s">
        <v>1541</v>
      </c>
      <c r="F37" s="5" t="s">
        <v>1573</v>
      </c>
      <c r="G37" s="5"/>
      <c r="H37" s="5" t="s">
        <v>1628</v>
      </c>
      <c r="I37" s="5" t="s">
        <v>1624</v>
      </c>
      <c r="J37" s="5" t="s">
        <v>1544</v>
      </c>
      <c r="K37" s="5"/>
      <c r="L37" s="5"/>
      <c r="M37" s="5" t="s">
        <v>52</v>
      </c>
      <c r="N37" s="5"/>
    </row>
    <row r="38" hidden="1" spans="1:14">
      <c r="A38" s="5">
        <v>37</v>
      </c>
      <c r="B38" s="6">
        <v>45738</v>
      </c>
      <c r="C38" s="5" t="s">
        <v>80</v>
      </c>
      <c r="D38" s="5" t="s">
        <v>1551</v>
      </c>
      <c r="E38" s="5" t="s">
        <v>1541</v>
      </c>
      <c r="F38" s="5" t="s">
        <v>1555</v>
      </c>
      <c r="G38" s="5"/>
      <c r="H38" s="5" t="s">
        <v>1629</v>
      </c>
      <c r="I38" s="5" t="s">
        <v>1553</v>
      </c>
      <c r="J38" s="5" t="s">
        <v>1544</v>
      </c>
      <c r="K38" s="5"/>
      <c r="L38" s="5"/>
      <c r="M38" s="5" t="s">
        <v>53</v>
      </c>
      <c r="N38" s="5"/>
    </row>
    <row r="39" hidden="1" spans="1:14">
      <c r="A39" s="5">
        <v>38</v>
      </c>
      <c r="B39" s="6">
        <v>45738</v>
      </c>
      <c r="C39" s="5" t="s">
        <v>46</v>
      </c>
      <c r="D39" s="5" t="s">
        <v>1606</v>
      </c>
      <c r="E39" s="5" t="s">
        <v>1529</v>
      </c>
      <c r="F39" s="5" t="s">
        <v>1593</v>
      </c>
      <c r="G39" s="5"/>
      <c r="H39" s="5" t="s">
        <v>1630</v>
      </c>
      <c r="I39" s="5" t="s">
        <v>1631</v>
      </c>
      <c r="J39" s="5" t="s">
        <v>1544</v>
      </c>
      <c r="K39" s="5"/>
      <c r="L39" s="5"/>
      <c r="M39" s="5" t="s">
        <v>52</v>
      </c>
      <c r="N39" s="5"/>
    </row>
    <row r="40" hidden="1" spans="1:14">
      <c r="A40" s="5">
        <v>39</v>
      </c>
      <c r="B40" s="6">
        <v>45738</v>
      </c>
      <c r="C40" s="5" t="s">
        <v>103</v>
      </c>
      <c r="D40" s="5" t="s">
        <v>1632</v>
      </c>
      <c r="E40" s="5" t="s">
        <v>1541</v>
      </c>
      <c r="F40" s="5" t="s">
        <v>1555</v>
      </c>
      <c r="G40" s="5"/>
      <c r="H40" s="5" t="s">
        <v>1633</v>
      </c>
      <c r="I40" s="5" t="s">
        <v>1634</v>
      </c>
      <c r="J40" s="5" t="s">
        <v>1544</v>
      </c>
      <c r="K40" s="5"/>
      <c r="L40" s="5"/>
      <c r="M40" s="5" t="s">
        <v>53</v>
      </c>
      <c r="N40" s="5" t="s">
        <v>1635</v>
      </c>
    </row>
    <row r="41" hidden="1" spans="1:14">
      <c r="A41" s="5">
        <v>40</v>
      </c>
      <c r="B41" s="6">
        <v>45739</v>
      </c>
      <c r="C41" s="5" t="s">
        <v>1141</v>
      </c>
      <c r="D41" s="5" t="s">
        <v>1329</v>
      </c>
      <c r="E41" s="5" t="s">
        <v>1547</v>
      </c>
      <c r="F41" s="5" t="s">
        <v>1636</v>
      </c>
      <c r="G41" s="5"/>
      <c r="H41" s="5" t="s">
        <v>1637</v>
      </c>
      <c r="I41" s="5" t="s">
        <v>1638</v>
      </c>
      <c r="J41" s="5" t="s">
        <v>1533</v>
      </c>
      <c r="K41" s="5"/>
      <c r="L41" s="5"/>
      <c r="M41" s="5" t="s">
        <v>53</v>
      </c>
      <c r="N41" s="5"/>
    </row>
    <row r="42" hidden="1" spans="1:14">
      <c r="A42" s="5">
        <v>41</v>
      </c>
      <c r="B42" s="6">
        <v>45743</v>
      </c>
      <c r="C42" s="5" t="s">
        <v>46</v>
      </c>
      <c r="D42" s="5" t="s">
        <v>1123</v>
      </c>
      <c r="E42" s="5" t="s">
        <v>1547</v>
      </c>
      <c r="F42" s="5" t="s">
        <v>1555</v>
      </c>
      <c r="G42" s="5"/>
      <c r="H42" s="5" t="s">
        <v>1639</v>
      </c>
      <c r="I42" s="5" t="s">
        <v>1640</v>
      </c>
      <c r="J42" s="5" t="s">
        <v>1533</v>
      </c>
      <c r="K42" s="5"/>
      <c r="L42" s="5"/>
      <c r="M42" s="5" t="s">
        <v>53</v>
      </c>
      <c r="N42" s="5"/>
    </row>
    <row r="43" hidden="1" spans="1:14">
      <c r="A43" s="5">
        <v>42</v>
      </c>
      <c r="B43" s="6">
        <v>45743</v>
      </c>
      <c r="C43" s="5" t="s">
        <v>373</v>
      </c>
      <c r="D43" s="5" t="s">
        <v>372</v>
      </c>
      <c r="E43" s="5" t="s">
        <v>1541</v>
      </c>
      <c r="F43" s="5" t="s">
        <v>1555</v>
      </c>
      <c r="G43" s="5"/>
      <c r="H43" s="5" t="s">
        <v>1641</v>
      </c>
      <c r="I43" s="5" t="s">
        <v>1642</v>
      </c>
      <c r="J43" s="5" t="s">
        <v>1544</v>
      </c>
      <c r="K43" s="5"/>
      <c r="L43" s="5"/>
      <c r="M43" s="5" t="s">
        <v>53</v>
      </c>
      <c r="N43" s="5"/>
    </row>
    <row r="44" hidden="1" spans="1:14">
      <c r="A44" s="5">
        <v>43</v>
      </c>
      <c r="B44" s="6">
        <v>45743</v>
      </c>
      <c r="C44" s="5" t="s">
        <v>46</v>
      </c>
      <c r="D44" s="5" t="s">
        <v>1123</v>
      </c>
      <c r="E44" s="5" t="s">
        <v>1541</v>
      </c>
      <c r="F44" s="5" t="s">
        <v>1542</v>
      </c>
      <c r="G44" s="5"/>
      <c r="H44" s="5" t="s">
        <v>1643</v>
      </c>
      <c r="I44" s="5" t="s">
        <v>1644</v>
      </c>
      <c r="J44" s="5" t="s">
        <v>1533</v>
      </c>
      <c r="K44" s="5"/>
      <c r="L44" s="5"/>
      <c r="M44" s="5" t="s">
        <v>53</v>
      </c>
      <c r="N44" s="5" t="s">
        <v>1645</v>
      </c>
    </row>
    <row r="45" hidden="1" spans="1:14">
      <c r="A45" s="5">
        <v>44</v>
      </c>
      <c r="B45" s="6">
        <v>45746</v>
      </c>
      <c r="C45" s="5" t="s">
        <v>124</v>
      </c>
      <c r="D45" s="5" t="s">
        <v>1536</v>
      </c>
      <c r="E45" s="5" t="s">
        <v>1529</v>
      </c>
      <c r="F45" s="5" t="s">
        <v>1530</v>
      </c>
      <c r="G45" s="5"/>
      <c r="H45" s="5" t="s">
        <v>1646</v>
      </c>
      <c r="I45" s="5" t="s">
        <v>1647</v>
      </c>
      <c r="J45" s="5" t="s">
        <v>1533</v>
      </c>
      <c r="K45" s="5"/>
      <c r="L45" s="5"/>
      <c r="M45" s="5" t="s">
        <v>53</v>
      </c>
      <c r="N45" s="5"/>
    </row>
    <row r="46" hidden="1" spans="1:14">
      <c r="A46" s="5">
        <v>45</v>
      </c>
      <c r="B46" s="6">
        <v>45748</v>
      </c>
      <c r="C46" s="5" t="s">
        <v>458</v>
      </c>
      <c r="D46" s="5" t="s">
        <v>1415</v>
      </c>
      <c r="E46" s="5" t="s">
        <v>1541</v>
      </c>
      <c r="F46" s="5" t="s">
        <v>1542</v>
      </c>
      <c r="G46" s="5"/>
      <c r="H46" s="5" t="s">
        <v>1648</v>
      </c>
      <c r="I46" s="5" t="s">
        <v>1649</v>
      </c>
      <c r="J46" s="5" t="s">
        <v>1544</v>
      </c>
      <c r="K46" s="5"/>
      <c r="L46" s="5"/>
      <c r="M46" s="5" t="s">
        <v>52</v>
      </c>
      <c r="N46" s="5"/>
    </row>
    <row r="47" hidden="1" spans="1:14">
      <c r="A47" s="5">
        <v>46</v>
      </c>
      <c r="B47" s="6">
        <v>45749</v>
      </c>
      <c r="C47" s="5" t="s">
        <v>1141</v>
      </c>
      <c r="D47" s="5" t="s">
        <v>1329</v>
      </c>
      <c r="E47" s="5" t="s">
        <v>1541</v>
      </c>
      <c r="F47" s="5" t="s">
        <v>1555</v>
      </c>
      <c r="G47" s="5"/>
      <c r="H47" s="5" t="s">
        <v>1650</v>
      </c>
      <c r="I47" s="5" t="s">
        <v>1638</v>
      </c>
      <c r="J47" s="5" t="s">
        <v>1544</v>
      </c>
      <c r="K47" s="5"/>
      <c r="L47" s="5"/>
      <c r="M47" s="5" t="s">
        <v>52</v>
      </c>
      <c r="N47" s="5"/>
    </row>
    <row r="48" hidden="1" spans="1:14">
      <c r="A48" s="5">
        <v>47</v>
      </c>
      <c r="B48" s="6">
        <v>45749</v>
      </c>
      <c r="C48" s="5" t="s">
        <v>124</v>
      </c>
      <c r="D48" s="5" t="s">
        <v>1503</v>
      </c>
      <c r="E48" s="5" t="s">
        <v>1529</v>
      </c>
      <c r="F48" s="5" t="s">
        <v>1530</v>
      </c>
      <c r="G48" s="5"/>
      <c r="H48" s="5" t="s">
        <v>1651</v>
      </c>
      <c r="I48" s="5" t="s">
        <v>1652</v>
      </c>
      <c r="J48" s="5" t="s">
        <v>1533</v>
      </c>
      <c r="K48" s="5"/>
      <c r="L48" s="5"/>
      <c r="M48" s="5" t="s">
        <v>53</v>
      </c>
      <c r="N48" s="5"/>
    </row>
    <row r="49" hidden="1" spans="1:14">
      <c r="A49" s="5">
        <v>48</v>
      </c>
      <c r="B49" s="6">
        <v>45754</v>
      </c>
      <c r="C49" s="5" t="s">
        <v>115</v>
      </c>
      <c r="D49" s="5" t="s">
        <v>979</v>
      </c>
      <c r="E49" s="5" t="s">
        <v>1529</v>
      </c>
      <c r="F49" s="5" t="s">
        <v>1530</v>
      </c>
      <c r="G49" s="5"/>
      <c r="H49" s="5" t="s">
        <v>1653</v>
      </c>
      <c r="I49" s="5" t="s">
        <v>1654</v>
      </c>
      <c r="J49" s="5" t="s">
        <v>1533</v>
      </c>
      <c r="K49" s="5"/>
      <c r="L49" s="5"/>
      <c r="M49" s="5" t="s">
        <v>53</v>
      </c>
      <c r="N49" s="5"/>
    </row>
    <row r="50" hidden="1" spans="1:14">
      <c r="A50" s="5">
        <v>49</v>
      </c>
      <c r="B50" s="6">
        <v>45755</v>
      </c>
      <c r="C50" s="5" t="s">
        <v>46</v>
      </c>
      <c r="D50" s="5" t="s">
        <v>1606</v>
      </c>
      <c r="E50" s="5" t="s">
        <v>1541</v>
      </c>
      <c r="F50" s="5" t="s">
        <v>1555</v>
      </c>
      <c r="G50" s="5"/>
      <c r="H50" s="5" t="s">
        <v>1655</v>
      </c>
      <c r="I50" s="5" t="s">
        <v>1631</v>
      </c>
      <c r="J50" s="5" t="s">
        <v>1544</v>
      </c>
      <c r="K50" s="5"/>
      <c r="L50" s="5"/>
      <c r="M50" s="5" t="s">
        <v>53</v>
      </c>
      <c r="N50" s="5"/>
    </row>
    <row r="51" hidden="1" spans="1:14">
      <c r="A51" s="5">
        <v>50</v>
      </c>
      <c r="B51" s="6">
        <v>45758</v>
      </c>
      <c r="C51" s="5" t="s">
        <v>80</v>
      </c>
      <c r="D51" s="5" t="s">
        <v>1551</v>
      </c>
      <c r="E51" s="5" t="s">
        <v>1529</v>
      </c>
      <c r="F51" s="5" t="s">
        <v>1530</v>
      </c>
      <c r="G51" s="5"/>
      <c r="H51" s="5" t="s">
        <v>1656</v>
      </c>
      <c r="I51" s="5" t="s">
        <v>1657</v>
      </c>
      <c r="J51" s="5" t="s">
        <v>1533</v>
      </c>
      <c r="K51" s="5"/>
      <c r="L51" s="5"/>
      <c r="M51" s="5" t="s">
        <v>53</v>
      </c>
      <c r="N51" s="5"/>
    </row>
    <row r="52" hidden="1" spans="1:14">
      <c r="A52" s="5">
        <v>51</v>
      </c>
      <c r="B52" s="6">
        <v>45758</v>
      </c>
      <c r="C52" s="5" t="s">
        <v>124</v>
      </c>
      <c r="D52" s="5" t="s">
        <v>1382</v>
      </c>
      <c r="E52" s="5" t="s">
        <v>1529</v>
      </c>
      <c r="F52" s="5" t="s">
        <v>1530</v>
      </c>
      <c r="G52" s="5"/>
      <c r="H52" s="5" t="s">
        <v>1658</v>
      </c>
      <c r="I52" s="5" t="s">
        <v>1659</v>
      </c>
      <c r="J52" s="5" t="s">
        <v>1533</v>
      </c>
      <c r="K52" s="5"/>
      <c r="L52" s="5"/>
      <c r="M52" s="5" t="s">
        <v>53</v>
      </c>
      <c r="N52" s="5"/>
    </row>
    <row r="53" hidden="1" spans="1:14">
      <c r="A53" s="5">
        <v>52</v>
      </c>
      <c r="B53" s="6">
        <v>45759</v>
      </c>
      <c r="C53" s="5" t="s">
        <v>1141</v>
      </c>
      <c r="D53" s="5" t="s">
        <v>1329</v>
      </c>
      <c r="E53" s="5" t="s">
        <v>1547</v>
      </c>
      <c r="F53" s="5" t="s">
        <v>1660</v>
      </c>
      <c r="G53" s="5"/>
      <c r="H53" s="5" t="s">
        <v>1661</v>
      </c>
      <c r="I53" s="5" t="s">
        <v>1638</v>
      </c>
      <c r="J53" s="5" t="s">
        <v>1533</v>
      </c>
      <c r="K53" s="5"/>
      <c r="L53" s="5"/>
      <c r="M53" s="5" t="s">
        <v>53</v>
      </c>
      <c r="N53" s="5"/>
    </row>
    <row r="54" hidden="1" spans="1:14">
      <c r="A54" s="5">
        <v>53</v>
      </c>
      <c r="B54" s="6">
        <v>45763</v>
      </c>
      <c r="C54" s="5" t="s">
        <v>124</v>
      </c>
      <c r="D54" s="5" t="s">
        <v>1382</v>
      </c>
      <c r="E54" s="5" t="s">
        <v>1541</v>
      </c>
      <c r="F54" s="5" t="s">
        <v>1555</v>
      </c>
      <c r="G54" s="5"/>
      <c r="H54" s="5" t="s">
        <v>1662</v>
      </c>
      <c r="I54" s="5" t="s">
        <v>1659</v>
      </c>
      <c r="J54" s="5" t="s">
        <v>1544</v>
      </c>
      <c r="K54" s="5"/>
      <c r="L54" s="5"/>
      <c r="M54" s="5" t="s">
        <v>52</v>
      </c>
      <c r="N54" s="5"/>
    </row>
    <row r="55" hidden="1" spans="1:14">
      <c r="A55" s="5">
        <v>54</v>
      </c>
      <c r="B55" s="6">
        <v>45765</v>
      </c>
      <c r="C55" s="5" t="s">
        <v>80</v>
      </c>
      <c r="D55" s="5" t="s">
        <v>1551</v>
      </c>
      <c r="E55" s="5" t="s">
        <v>1529</v>
      </c>
      <c r="F55" s="5" t="s">
        <v>1530</v>
      </c>
      <c r="G55" s="5"/>
      <c r="H55" s="5" t="s">
        <v>1663</v>
      </c>
      <c r="I55" s="5" t="s">
        <v>1657</v>
      </c>
      <c r="J55" s="5" t="s">
        <v>1533</v>
      </c>
      <c r="K55" s="5"/>
      <c r="L55" s="5"/>
      <c r="M55" s="5" t="s">
        <v>53</v>
      </c>
      <c r="N55" s="5"/>
    </row>
    <row r="56" hidden="1" spans="1:14">
      <c r="A56" s="5">
        <v>55</v>
      </c>
      <c r="B56" s="6">
        <v>45765</v>
      </c>
      <c r="C56" s="5" t="s">
        <v>80</v>
      </c>
      <c r="D56" s="5" t="s">
        <v>1551</v>
      </c>
      <c r="E56" s="5" t="s">
        <v>1541</v>
      </c>
      <c r="F56" s="5" t="s">
        <v>1542</v>
      </c>
      <c r="G56" s="5"/>
      <c r="H56" s="5" t="s">
        <v>1664</v>
      </c>
      <c r="I56" s="5" t="s">
        <v>1657</v>
      </c>
      <c r="J56" s="5" t="s">
        <v>1544</v>
      </c>
      <c r="K56" s="5"/>
      <c r="L56" s="5"/>
      <c r="M56" s="5" t="s">
        <v>52</v>
      </c>
      <c r="N56" s="5"/>
    </row>
    <row r="57" hidden="1" spans="1:14">
      <c r="A57" s="5">
        <v>56</v>
      </c>
      <c r="B57" s="6">
        <v>45768</v>
      </c>
      <c r="C57" s="5" t="s">
        <v>103</v>
      </c>
      <c r="D57" s="5" t="s">
        <v>1665</v>
      </c>
      <c r="E57" s="5" t="s">
        <v>1541</v>
      </c>
      <c r="F57" s="5" t="s">
        <v>1542</v>
      </c>
      <c r="G57" s="5"/>
      <c r="H57" s="5" t="s">
        <v>1666</v>
      </c>
      <c r="I57" s="5" t="s">
        <v>1667</v>
      </c>
      <c r="J57" s="5" t="s">
        <v>1544</v>
      </c>
      <c r="K57" s="5"/>
      <c r="L57" s="5"/>
      <c r="M57" s="5" t="s">
        <v>52</v>
      </c>
      <c r="N57" s="5"/>
    </row>
    <row r="58" hidden="1" spans="1:14">
      <c r="A58" s="5">
        <v>57</v>
      </c>
      <c r="B58" s="6">
        <v>45768</v>
      </c>
      <c r="C58" s="5" t="s">
        <v>124</v>
      </c>
      <c r="D58" s="5" t="s">
        <v>1668</v>
      </c>
      <c r="E58" s="5" t="s">
        <v>1541</v>
      </c>
      <c r="F58" s="5" t="s">
        <v>1555</v>
      </c>
      <c r="G58" s="5"/>
      <c r="H58" s="5" t="s">
        <v>1669</v>
      </c>
      <c r="I58" s="5" t="s">
        <v>1670</v>
      </c>
      <c r="J58" s="5" t="s">
        <v>1533</v>
      </c>
      <c r="K58" s="5"/>
      <c r="L58" s="5"/>
      <c r="M58" s="5" t="s">
        <v>53</v>
      </c>
      <c r="N58" s="5"/>
    </row>
    <row r="59" hidden="1" spans="1:14">
      <c r="A59" s="5">
        <v>58</v>
      </c>
      <c r="B59" s="6">
        <v>45771</v>
      </c>
      <c r="C59" s="5" t="s">
        <v>80</v>
      </c>
      <c r="D59" s="5" t="s">
        <v>1551</v>
      </c>
      <c r="E59" s="5" t="s">
        <v>1541</v>
      </c>
      <c r="F59" s="5" t="s">
        <v>1573</v>
      </c>
      <c r="G59" s="5"/>
      <c r="H59" s="5" t="s">
        <v>1671</v>
      </c>
      <c r="I59" s="5" t="s">
        <v>1672</v>
      </c>
      <c r="J59" s="5" t="s">
        <v>1533</v>
      </c>
      <c r="K59" s="5"/>
      <c r="L59" s="5"/>
      <c r="M59" s="5" t="s">
        <v>53</v>
      </c>
      <c r="N59" s="5"/>
    </row>
    <row r="60" hidden="1" spans="1:14">
      <c r="A60" s="5">
        <v>59</v>
      </c>
      <c r="B60" s="6">
        <v>45773</v>
      </c>
      <c r="C60" s="5" t="s">
        <v>80</v>
      </c>
      <c r="D60" s="5" t="s">
        <v>1673</v>
      </c>
      <c r="E60" s="5" t="s">
        <v>1541</v>
      </c>
      <c r="F60" s="5" t="s">
        <v>1542</v>
      </c>
      <c r="G60" s="5"/>
      <c r="H60" s="5" t="s">
        <v>1674</v>
      </c>
      <c r="I60" s="5" t="s">
        <v>1675</v>
      </c>
      <c r="J60" s="5" t="s">
        <v>1544</v>
      </c>
      <c r="K60" s="5"/>
      <c r="L60" s="5"/>
      <c r="M60" s="5" t="s">
        <v>52</v>
      </c>
      <c r="N60" s="5"/>
    </row>
    <row r="61" hidden="1" spans="1:14">
      <c r="A61" s="5">
        <v>60</v>
      </c>
      <c r="B61" s="6">
        <v>45770</v>
      </c>
      <c r="C61" s="5" t="s">
        <v>95</v>
      </c>
      <c r="D61" s="5" t="s">
        <v>1676</v>
      </c>
      <c r="E61" s="5" t="s">
        <v>1541</v>
      </c>
      <c r="F61" s="5" t="s">
        <v>1555</v>
      </c>
      <c r="G61" s="5"/>
      <c r="H61" s="5" t="s">
        <v>1677</v>
      </c>
      <c r="I61" s="5" t="s">
        <v>1678</v>
      </c>
      <c r="J61" s="5" t="s">
        <v>1544</v>
      </c>
      <c r="K61" s="5"/>
      <c r="L61" s="5"/>
      <c r="M61" s="5" t="s">
        <v>53</v>
      </c>
      <c r="N61" s="5"/>
    </row>
    <row r="62" hidden="1" spans="1:14">
      <c r="A62" s="5">
        <v>61</v>
      </c>
      <c r="B62" s="6">
        <v>45774</v>
      </c>
      <c r="C62" s="5" t="s">
        <v>237</v>
      </c>
      <c r="D62" s="5" t="s">
        <v>1246</v>
      </c>
      <c r="E62" s="5" t="s">
        <v>1541</v>
      </c>
      <c r="F62" s="5" t="s">
        <v>1542</v>
      </c>
      <c r="G62" s="5"/>
      <c r="H62" s="5" t="s">
        <v>1679</v>
      </c>
      <c r="I62" s="5" t="s">
        <v>1680</v>
      </c>
      <c r="J62" s="5" t="s">
        <v>1544</v>
      </c>
      <c r="K62" s="5"/>
      <c r="L62" s="5"/>
      <c r="M62" s="5" t="s">
        <v>52</v>
      </c>
      <c r="N62" s="5"/>
    </row>
    <row r="63" hidden="1" spans="1:14">
      <c r="A63" s="5">
        <v>62</v>
      </c>
      <c r="B63" s="6">
        <v>45780</v>
      </c>
      <c r="C63" s="5" t="s">
        <v>95</v>
      </c>
      <c r="D63" s="5" t="s">
        <v>1681</v>
      </c>
      <c r="E63" s="5" t="s">
        <v>1547</v>
      </c>
      <c r="F63" s="5" t="s">
        <v>1548</v>
      </c>
      <c r="G63" s="5"/>
      <c r="H63" s="5" t="s">
        <v>1682</v>
      </c>
      <c r="I63" s="5" t="s">
        <v>1683</v>
      </c>
      <c r="J63" s="5" t="s">
        <v>1533</v>
      </c>
      <c r="K63" s="5"/>
      <c r="L63" s="5"/>
      <c r="M63" s="5" t="s">
        <v>53</v>
      </c>
      <c r="N63" s="5"/>
    </row>
    <row r="64" hidden="1" spans="1:14">
      <c r="A64" s="5">
        <v>63</v>
      </c>
      <c r="B64" s="6">
        <v>45782</v>
      </c>
      <c r="C64" s="5" t="s">
        <v>115</v>
      </c>
      <c r="D64" s="5" t="s">
        <v>979</v>
      </c>
      <c r="E64" s="5" t="s">
        <v>1541</v>
      </c>
      <c r="F64" s="5" t="s">
        <v>1542</v>
      </c>
      <c r="G64" s="5"/>
      <c r="H64" s="5" t="s">
        <v>1684</v>
      </c>
      <c r="I64" s="5" t="s">
        <v>1654</v>
      </c>
      <c r="J64" s="5" t="s">
        <v>1544</v>
      </c>
      <c r="K64" s="5"/>
      <c r="L64" s="5"/>
      <c r="M64" s="5" t="s">
        <v>52</v>
      </c>
      <c r="N64" s="5"/>
    </row>
    <row r="65" hidden="1" spans="1:14">
      <c r="A65" s="5">
        <v>64</v>
      </c>
      <c r="B65" s="6">
        <v>45783</v>
      </c>
      <c r="C65" s="5" t="s">
        <v>103</v>
      </c>
      <c r="D65" s="5" t="s">
        <v>1685</v>
      </c>
      <c r="E65" s="5" t="s">
        <v>1529</v>
      </c>
      <c r="F65" s="5" t="s">
        <v>1530</v>
      </c>
      <c r="G65" s="5"/>
      <c r="H65" s="5" t="s">
        <v>1686</v>
      </c>
      <c r="I65" s="5" t="s">
        <v>1687</v>
      </c>
      <c r="J65" s="5" t="s">
        <v>1533</v>
      </c>
      <c r="K65" s="5"/>
      <c r="L65" s="5"/>
      <c r="M65" s="5" t="s">
        <v>53</v>
      </c>
      <c r="N65" s="5"/>
    </row>
    <row r="66" hidden="1" spans="1:14">
      <c r="A66" s="5">
        <v>65</v>
      </c>
      <c r="B66" s="6">
        <v>45784</v>
      </c>
      <c r="C66" s="5" t="s">
        <v>46</v>
      </c>
      <c r="D66" s="5" t="s">
        <v>1123</v>
      </c>
      <c r="E66" s="5" t="s">
        <v>1541</v>
      </c>
      <c r="F66" s="5" t="s">
        <v>1542</v>
      </c>
      <c r="G66" s="5"/>
      <c r="H66" s="5" t="s">
        <v>1688</v>
      </c>
      <c r="I66" s="5" t="s">
        <v>1644</v>
      </c>
      <c r="J66" s="5" t="s">
        <v>1544</v>
      </c>
      <c r="K66" s="5"/>
      <c r="L66" s="5"/>
      <c r="M66" s="5" t="s">
        <v>52</v>
      </c>
      <c r="N66" s="5"/>
    </row>
    <row r="67" hidden="1" spans="1:14">
      <c r="A67" s="5">
        <v>66</v>
      </c>
      <c r="B67" s="6">
        <v>45785</v>
      </c>
      <c r="C67" s="5" t="s">
        <v>103</v>
      </c>
      <c r="D67" s="5" t="s">
        <v>1685</v>
      </c>
      <c r="E67" s="5" t="s">
        <v>1541</v>
      </c>
      <c r="F67" s="5" t="s">
        <v>1573</v>
      </c>
      <c r="G67" s="5"/>
      <c r="H67" s="5" t="s">
        <v>1689</v>
      </c>
      <c r="I67" s="5" t="s">
        <v>1687</v>
      </c>
      <c r="J67" s="5" t="s">
        <v>1544</v>
      </c>
      <c r="K67" s="5"/>
      <c r="L67" s="5"/>
      <c r="M67" s="5" t="s">
        <v>53</v>
      </c>
      <c r="N67" s="5"/>
    </row>
    <row r="68" hidden="1" spans="1:14">
      <c r="A68" s="5">
        <v>67</v>
      </c>
      <c r="B68" s="6">
        <v>45785</v>
      </c>
      <c r="C68" s="5" t="s">
        <v>458</v>
      </c>
      <c r="D68" s="5" t="s">
        <v>1415</v>
      </c>
      <c r="E68" s="5" t="s">
        <v>1541</v>
      </c>
      <c r="F68" s="5" t="s">
        <v>1555</v>
      </c>
      <c r="G68" s="5"/>
      <c r="H68" s="5" t="s">
        <v>1690</v>
      </c>
      <c r="I68" s="5" t="s">
        <v>1649</v>
      </c>
      <c r="J68" s="5" t="s">
        <v>1533</v>
      </c>
      <c r="K68" s="5"/>
      <c r="L68" s="5"/>
      <c r="M68" s="5" t="s">
        <v>53</v>
      </c>
      <c r="N68" s="5"/>
    </row>
    <row r="69" hidden="1" spans="1:14">
      <c r="A69" s="5">
        <v>68</v>
      </c>
      <c r="B69" s="6">
        <v>45785</v>
      </c>
      <c r="C69" s="5" t="s">
        <v>63</v>
      </c>
      <c r="D69" s="5" t="s">
        <v>1691</v>
      </c>
      <c r="E69" s="5" t="s">
        <v>1529</v>
      </c>
      <c r="F69" s="5" t="s">
        <v>1530</v>
      </c>
      <c r="G69" s="5"/>
      <c r="H69" s="5" t="s">
        <v>1692</v>
      </c>
      <c r="I69" s="5" t="s">
        <v>1693</v>
      </c>
      <c r="J69" s="5" t="s">
        <v>1533</v>
      </c>
      <c r="K69" s="5"/>
      <c r="L69" s="5"/>
      <c r="M69" s="5" t="s">
        <v>53</v>
      </c>
      <c r="N69" s="5"/>
    </row>
    <row r="70" hidden="1" spans="1:14">
      <c r="A70" s="5">
        <v>69</v>
      </c>
      <c r="B70" s="6">
        <v>45787</v>
      </c>
      <c r="C70" s="5" t="s">
        <v>1141</v>
      </c>
      <c r="D70" s="5" t="s">
        <v>1694</v>
      </c>
      <c r="E70" s="5" t="s">
        <v>1541</v>
      </c>
      <c r="F70" s="5" t="s">
        <v>1555</v>
      </c>
      <c r="G70" s="5"/>
      <c r="H70" s="5" t="s">
        <v>1695</v>
      </c>
      <c r="I70" s="5" t="s">
        <v>1696</v>
      </c>
      <c r="J70" s="5" t="s">
        <v>1544</v>
      </c>
      <c r="K70" s="5"/>
      <c r="L70" s="5"/>
      <c r="M70" s="5" t="s">
        <v>52</v>
      </c>
      <c r="N70" s="5"/>
    </row>
    <row r="71" hidden="1" spans="1:14">
      <c r="A71" s="5">
        <v>70</v>
      </c>
      <c r="B71" s="6">
        <v>45789</v>
      </c>
      <c r="C71" s="5" t="s">
        <v>124</v>
      </c>
      <c r="D71" s="5" t="s">
        <v>1697</v>
      </c>
      <c r="E71" s="5" t="s">
        <v>1541</v>
      </c>
      <c r="F71" s="5" t="s">
        <v>1542</v>
      </c>
      <c r="G71" s="5"/>
      <c r="H71" s="5" t="s">
        <v>1698</v>
      </c>
      <c r="I71" s="5" t="s">
        <v>1699</v>
      </c>
      <c r="J71" s="5" t="s">
        <v>1544</v>
      </c>
      <c r="K71" s="5"/>
      <c r="L71" s="5"/>
      <c r="M71" s="5" t="s">
        <v>52</v>
      </c>
      <c r="N71" s="5"/>
    </row>
    <row r="72" hidden="1" spans="1:14">
      <c r="A72" s="5">
        <v>71</v>
      </c>
      <c r="B72" s="6">
        <v>45790</v>
      </c>
      <c r="C72" s="5" t="s">
        <v>1141</v>
      </c>
      <c r="D72" s="5" t="s">
        <v>1575</v>
      </c>
      <c r="E72" s="5" t="s">
        <v>1529</v>
      </c>
      <c r="F72" s="5" t="s">
        <v>1530</v>
      </c>
      <c r="G72" s="5"/>
      <c r="H72" s="5" t="s">
        <v>1700</v>
      </c>
      <c r="I72" s="5" t="s">
        <v>1701</v>
      </c>
      <c r="J72" s="5" t="s">
        <v>1533</v>
      </c>
      <c r="K72" s="5"/>
      <c r="L72" s="5"/>
      <c r="M72" s="5" t="s">
        <v>53</v>
      </c>
      <c r="N72" s="5"/>
    </row>
    <row r="73" hidden="1" spans="1:14">
      <c r="A73" s="5">
        <v>72</v>
      </c>
      <c r="B73" s="6">
        <v>45795</v>
      </c>
      <c r="C73" s="5" t="s">
        <v>90</v>
      </c>
      <c r="D73" s="5" t="s">
        <v>1598</v>
      </c>
      <c r="E73" s="5" t="s">
        <v>1541</v>
      </c>
      <c r="F73" s="5" t="s">
        <v>1573</v>
      </c>
      <c r="G73" s="5"/>
      <c r="H73" s="5" t="s">
        <v>1702</v>
      </c>
      <c r="I73" s="5" t="s">
        <v>1601</v>
      </c>
      <c r="J73" s="5" t="s">
        <v>1544</v>
      </c>
      <c r="K73" s="5"/>
      <c r="L73" s="5"/>
      <c r="M73" s="5" t="s">
        <v>53</v>
      </c>
      <c r="N73" s="5"/>
    </row>
    <row r="74" hidden="1" spans="1:14">
      <c r="A74" s="5">
        <v>73</v>
      </c>
      <c r="B74" s="6">
        <v>45797</v>
      </c>
      <c r="C74" s="5" t="s">
        <v>103</v>
      </c>
      <c r="D74" s="5" t="s">
        <v>1546</v>
      </c>
      <c r="E74" s="5" t="s">
        <v>1547</v>
      </c>
      <c r="F74" s="5" t="s">
        <v>1548</v>
      </c>
      <c r="G74" s="5"/>
      <c r="H74" s="5" t="s">
        <v>1703</v>
      </c>
      <c r="I74" s="5" t="s">
        <v>1704</v>
      </c>
      <c r="J74" s="5" t="s">
        <v>1533</v>
      </c>
      <c r="K74" s="5"/>
      <c r="L74" s="5"/>
      <c r="M74" s="5" t="s">
        <v>53</v>
      </c>
      <c r="N74" s="5"/>
    </row>
    <row r="75" hidden="1" spans="1:14">
      <c r="A75" s="5">
        <v>74</v>
      </c>
      <c r="B75" s="6">
        <v>45797</v>
      </c>
      <c r="C75" s="5" t="s">
        <v>124</v>
      </c>
      <c r="D75" s="5" t="s">
        <v>1382</v>
      </c>
      <c r="E75" s="5" t="s">
        <v>1529</v>
      </c>
      <c r="F75" s="5" t="s">
        <v>1530</v>
      </c>
      <c r="G75" s="5"/>
      <c r="H75" s="5" t="s">
        <v>1705</v>
      </c>
      <c r="I75" s="5" t="s">
        <v>1659</v>
      </c>
      <c r="J75" s="5" t="s">
        <v>1533</v>
      </c>
      <c r="K75" s="5"/>
      <c r="L75" s="5"/>
      <c r="M75" s="5" t="s">
        <v>53</v>
      </c>
      <c r="N75" s="5"/>
    </row>
    <row r="76" hidden="1" spans="1:14">
      <c r="A76" s="5">
        <v>75</v>
      </c>
      <c r="B76" s="6">
        <v>45797</v>
      </c>
      <c r="C76" s="5" t="s">
        <v>124</v>
      </c>
      <c r="D76" s="5" t="s">
        <v>1382</v>
      </c>
      <c r="E76" s="5" t="s">
        <v>1529</v>
      </c>
      <c r="F76" s="5" t="s">
        <v>1593</v>
      </c>
      <c r="G76" s="5"/>
      <c r="H76" s="5" t="s">
        <v>1706</v>
      </c>
      <c r="I76" s="5" t="s">
        <v>1659</v>
      </c>
      <c r="J76" s="5" t="s">
        <v>1533</v>
      </c>
      <c r="K76" s="5"/>
      <c r="L76" s="5"/>
      <c r="M76" s="5" t="s">
        <v>53</v>
      </c>
      <c r="N76" s="5"/>
    </row>
    <row r="77" hidden="1" spans="1:14">
      <c r="A77" s="5">
        <v>76</v>
      </c>
      <c r="B77" s="6">
        <v>45796</v>
      </c>
      <c r="C77" s="5" t="s">
        <v>155</v>
      </c>
      <c r="D77" s="5" t="s">
        <v>1290</v>
      </c>
      <c r="E77" s="5" t="s">
        <v>1541</v>
      </c>
      <c r="F77" s="5" t="s">
        <v>1555</v>
      </c>
      <c r="G77" s="5"/>
      <c r="H77" s="5" t="s">
        <v>1707</v>
      </c>
      <c r="I77" s="5" t="s">
        <v>1708</v>
      </c>
      <c r="J77" s="5" t="s">
        <v>1533</v>
      </c>
      <c r="K77" s="5"/>
      <c r="L77" s="5"/>
      <c r="M77" s="5" t="s">
        <v>53</v>
      </c>
      <c r="N77" s="5"/>
    </row>
    <row r="78" hidden="1" spans="1:14">
      <c r="A78" s="5">
        <v>77</v>
      </c>
      <c r="B78" s="6">
        <v>45798</v>
      </c>
      <c r="C78" s="5" t="s">
        <v>46</v>
      </c>
      <c r="D78" s="5" t="s">
        <v>1606</v>
      </c>
      <c r="E78" s="5" t="s">
        <v>1541</v>
      </c>
      <c r="F78" s="5" t="s">
        <v>1555</v>
      </c>
      <c r="G78" s="5"/>
      <c r="H78" s="5" t="s">
        <v>1709</v>
      </c>
      <c r="I78" s="5" t="s">
        <v>1631</v>
      </c>
      <c r="J78" s="5" t="s">
        <v>1544</v>
      </c>
      <c r="K78" s="5"/>
      <c r="L78" s="5"/>
      <c r="M78" s="5" t="s">
        <v>53</v>
      </c>
      <c r="N78" s="5"/>
    </row>
    <row r="79" hidden="1" spans="1:14">
      <c r="A79" s="5">
        <v>78</v>
      </c>
      <c r="B79" s="6">
        <v>45801</v>
      </c>
      <c r="C79" s="5" t="s">
        <v>458</v>
      </c>
      <c r="D79" s="5" t="s">
        <v>1415</v>
      </c>
      <c r="E79" s="5" t="s">
        <v>1547</v>
      </c>
      <c r="F79" s="5" t="s">
        <v>1548</v>
      </c>
      <c r="G79" s="5"/>
      <c r="H79" s="5" t="s">
        <v>1710</v>
      </c>
      <c r="I79" s="5" t="s">
        <v>1649</v>
      </c>
      <c r="J79" s="5" t="s">
        <v>1533</v>
      </c>
      <c r="K79" s="5"/>
      <c r="L79" s="5"/>
      <c r="M79" s="5" t="s">
        <v>53</v>
      </c>
      <c r="N79" s="5"/>
    </row>
    <row r="80" hidden="1" spans="1:14">
      <c r="A80" s="5">
        <v>79</v>
      </c>
      <c r="B80" s="6">
        <v>45803</v>
      </c>
      <c r="C80" s="5" t="s">
        <v>124</v>
      </c>
      <c r="D80" s="5" t="s">
        <v>1503</v>
      </c>
      <c r="E80" s="5" t="s">
        <v>1541</v>
      </c>
      <c r="F80" s="5" t="s">
        <v>1555</v>
      </c>
      <c r="G80" s="5"/>
      <c r="H80" s="5" t="s">
        <v>1711</v>
      </c>
      <c r="I80" s="5" t="s">
        <v>1712</v>
      </c>
      <c r="J80" s="5" t="s">
        <v>1544</v>
      </c>
      <c r="K80" s="5"/>
      <c r="L80" s="5"/>
      <c r="M80" s="5" t="s">
        <v>53</v>
      </c>
      <c r="N80" s="5"/>
    </row>
    <row r="81" hidden="1" spans="1:14">
      <c r="A81" s="5">
        <v>80</v>
      </c>
      <c r="B81" s="6">
        <v>45805</v>
      </c>
      <c r="C81" s="5" t="s">
        <v>63</v>
      </c>
      <c r="D81" s="5" t="s">
        <v>1568</v>
      </c>
      <c r="E81" s="5" t="s">
        <v>1541</v>
      </c>
      <c r="F81" s="5" t="s">
        <v>1555</v>
      </c>
      <c r="G81" s="5"/>
      <c r="H81" s="5" t="s">
        <v>1713</v>
      </c>
      <c r="I81" s="5" t="s">
        <v>1714</v>
      </c>
      <c r="J81" s="5" t="s">
        <v>1544</v>
      </c>
      <c r="K81" s="5"/>
      <c r="L81" s="5"/>
      <c r="M81" s="5" t="s">
        <v>53</v>
      </c>
      <c r="N81" s="5"/>
    </row>
    <row r="82" hidden="1" spans="1:14">
      <c r="A82" s="5">
        <v>81</v>
      </c>
      <c r="B82" s="6">
        <v>45806</v>
      </c>
      <c r="C82" s="5" t="s">
        <v>46</v>
      </c>
      <c r="D82" s="5" t="s">
        <v>1123</v>
      </c>
      <c r="E82" s="5" t="s">
        <v>1529</v>
      </c>
      <c r="F82" s="5" t="s">
        <v>1530</v>
      </c>
      <c r="G82" s="5"/>
      <c r="H82" s="5" t="s">
        <v>1715</v>
      </c>
      <c r="I82" s="5" t="s">
        <v>1644</v>
      </c>
      <c r="J82" s="5" t="s">
        <v>1533</v>
      </c>
      <c r="K82" s="5"/>
      <c r="L82" s="5"/>
      <c r="M82" s="5" t="s">
        <v>53</v>
      </c>
      <c r="N82" s="5" t="s">
        <v>1716</v>
      </c>
    </row>
    <row r="83" hidden="1" spans="1:14">
      <c r="A83" s="5">
        <v>82</v>
      </c>
      <c r="B83" s="6">
        <v>45806</v>
      </c>
      <c r="C83" s="5" t="s">
        <v>155</v>
      </c>
      <c r="D83" s="5" t="s">
        <v>1717</v>
      </c>
      <c r="E83" s="5" t="s">
        <v>1541</v>
      </c>
      <c r="F83" s="5" t="s">
        <v>1555</v>
      </c>
      <c r="G83" s="5"/>
      <c r="H83" s="5" t="s">
        <v>1718</v>
      </c>
      <c r="I83" s="5" t="s">
        <v>1719</v>
      </c>
      <c r="J83" s="5" t="s">
        <v>1544</v>
      </c>
      <c r="K83" s="5"/>
      <c r="L83" s="5"/>
      <c r="M83" s="5" t="s">
        <v>52</v>
      </c>
      <c r="N83" s="5"/>
    </row>
    <row r="84" hidden="1" spans="1:14">
      <c r="A84" s="5">
        <v>83</v>
      </c>
      <c r="B84" s="6">
        <v>45805</v>
      </c>
      <c r="C84" s="5" t="s">
        <v>103</v>
      </c>
      <c r="D84" s="5" t="s">
        <v>1632</v>
      </c>
      <c r="E84" s="5" t="s">
        <v>1529</v>
      </c>
      <c r="F84" s="5" t="s">
        <v>1530</v>
      </c>
      <c r="G84" s="5"/>
      <c r="H84" s="5" t="s">
        <v>1720</v>
      </c>
      <c r="I84" s="5" t="s">
        <v>1634</v>
      </c>
      <c r="J84" s="5" t="s">
        <v>1533</v>
      </c>
      <c r="K84" s="5"/>
      <c r="L84" s="5"/>
      <c r="M84" s="5" t="s">
        <v>53</v>
      </c>
      <c r="N84" s="5"/>
    </row>
    <row r="85" hidden="1" spans="1:14">
      <c r="A85" s="5">
        <v>84</v>
      </c>
      <c r="B85" s="6">
        <v>45809</v>
      </c>
      <c r="C85" s="5" t="s">
        <v>1141</v>
      </c>
      <c r="D85" s="5" t="s">
        <v>1694</v>
      </c>
      <c r="E85" s="5" t="s">
        <v>1547</v>
      </c>
      <c r="F85" s="5" t="s">
        <v>1721</v>
      </c>
      <c r="G85" s="5"/>
      <c r="H85" s="5" t="s">
        <v>1722</v>
      </c>
      <c r="I85" s="5" t="s">
        <v>1567</v>
      </c>
      <c r="J85" s="5" t="s">
        <v>1533</v>
      </c>
      <c r="K85" s="5"/>
      <c r="L85" s="5"/>
      <c r="M85" s="5" t="s">
        <v>53</v>
      </c>
      <c r="N85" s="5"/>
    </row>
    <row r="86" hidden="1" spans="1:14">
      <c r="A86" s="5">
        <v>85</v>
      </c>
      <c r="B86" s="6">
        <v>45813</v>
      </c>
      <c r="C86" s="5" t="s">
        <v>63</v>
      </c>
      <c r="D86" s="5" t="s">
        <v>263</v>
      </c>
      <c r="E86" s="5" t="s">
        <v>1547</v>
      </c>
      <c r="F86" s="5" t="s">
        <v>1555</v>
      </c>
      <c r="G86" s="5"/>
      <c r="H86" s="5" t="s">
        <v>1723</v>
      </c>
      <c r="I86" s="5" t="s">
        <v>1724</v>
      </c>
      <c r="J86" s="5" t="s">
        <v>1533</v>
      </c>
      <c r="K86" s="5"/>
      <c r="L86" s="5"/>
      <c r="M86" s="5" t="s">
        <v>53</v>
      </c>
      <c r="N86" s="5"/>
    </row>
    <row r="87" hidden="1" spans="1:14">
      <c r="A87" s="5">
        <v>86</v>
      </c>
      <c r="B87" s="6">
        <v>45813</v>
      </c>
      <c r="C87" s="5" t="s">
        <v>95</v>
      </c>
      <c r="D87" s="5" t="s">
        <v>1725</v>
      </c>
      <c r="E87" s="5" t="s">
        <v>1547</v>
      </c>
      <c r="F87" s="5" t="s">
        <v>1548</v>
      </c>
      <c r="G87" s="5"/>
      <c r="H87" s="5" t="s">
        <v>1726</v>
      </c>
      <c r="I87" s="5" t="s">
        <v>1727</v>
      </c>
      <c r="J87" s="5" t="s">
        <v>1533</v>
      </c>
      <c r="K87" s="5"/>
      <c r="L87" s="5"/>
      <c r="M87" s="5" t="s">
        <v>53</v>
      </c>
      <c r="N87" s="5"/>
    </row>
    <row r="88" hidden="1" spans="1:14">
      <c r="A88" s="5">
        <v>87</v>
      </c>
      <c r="B88" s="6">
        <v>45815</v>
      </c>
      <c r="C88" s="5" t="s">
        <v>1141</v>
      </c>
      <c r="D88" s="5" t="s">
        <v>1329</v>
      </c>
      <c r="E88" s="5" t="s">
        <v>1541</v>
      </c>
      <c r="F88" s="5" t="s">
        <v>1728</v>
      </c>
      <c r="G88" s="5"/>
      <c r="H88" s="5" t="s">
        <v>1729</v>
      </c>
      <c r="I88" s="5" t="s">
        <v>1567</v>
      </c>
      <c r="J88" s="5" t="s">
        <v>1544</v>
      </c>
      <c r="K88" s="5"/>
      <c r="L88" s="5"/>
      <c r="M88" s="5" t="s">
        <v>53</v>
      </c>
      <c r="N88" s="5"/>
    </row>
    <row r="89" hidden="1" spans="1:14">
      <c r="A89" s="5">
        <v>88</v>
      </c>
      <c r="B89" s="6">
        <v>45814</v>
      </c>
      <c r="C89" s="5" t="s">
        <v>63</v>
      </c>
      <c r="D89" s="5" t="s">
        <v>1691</v>
      </c>
      <c r="E89" s="5" t="s">
        <v>1529</v>
      </c>
      <c r="F89" s="5" t="s">
        <v>1530</v>
      </c>
      <c r="G89" s="5"/>
      <c r="H89" s="5" t="s">
        <v>1730</v>
      </c>
      <c r="I89" s="5" t="s">
        <v>1693</v>
      </c>
      <c r="J89" s="5" t="s">
        <v>1533</v>
      </c>
      <c r="K89" s="5"/>
      <c r="L89" s="5"/>
      <c r="M89" s="5" t="s">
        <v>53</v>
      </c>
      <c r="N89" s="5"/>
    </row>
    <row r="90" hidden="1" spans="1:14">
      <c r="A90" s="5">
        <v>89</v>
      </c>
      <c r="B90" s="6">
        <v>45820</v>
      </c>
      <c r="C90" s="5" t="s">
        <v>373</v>
      </c>
      <c r="D90" s="5" t="s">
        <v>372</v>
      </c>
      <c r="E90" s="5" t="s">
        <v>1541</v>
      </c>
      <c r="F90" s="5" t="s">
        <v>1573</v>
      </c>
      <c r="G90" s="5"/>
      <c r="H90" s="5" t="s">
        <v>1731</v>
      </c>
      <c r="I90" s="5" t="s">
        <v>1732</v>
      </c>
      <c r="J90" s="5" t="s">
        <v>1544</v>
      </c>
      <c r="K90" s="5"/>
      <c r="L90" s="5"/>
      <c r="M90" s="5" t="s">
        <v>53</v>
      </c>
      <c r="N90" s="5"/>
    </row>
    <row r="91" hidden="1" spans="1:14">
      <c r="A91" s="5">
        <v>90</v>
      </c>
      <c r="B91" s="6">
        <v>45820</v>
      </c>
      <c r="C91" s="5" t="s">
        <v>124</v>
      </c>
      <c r="D91" s="5" t="s">
        <v>1617</v>
      </c>
      <c r="E91" s="5" t="s">
        <v>1529</v>
      </c>
      <c r="F91" s="5" t="s">
        <v>1530</v>
      </c>
      <c r="G91" s="5"/>
      <c r="H91" s="5" t="s">
        <v>1733</v>
      </c>
      <c r="I91" s="5" t="s">
        <v>1734</v>
      </c>
      <c r="J91" s="5" t="s">
        <v>1533</v>
      </c>
      <c r="K91" s="5"/>
      <c r="L91" s="5"/>
      <c r="M91" s="5" t="s">
        <v>53</v>
      </c>
      <c r="N91" s="5"/>
    </row>
    <row r="92" hidden="1" spans="1:14">
      <c r="A92" s="5">
        <v>91</v>
      </c>
      <c r="B92" s="6">
        <v>45820</v>
      </c>
      <c r="C92" s="5" t="s">
        <v>80</v>
      </c>
      <c r="D92" s="5" t="s">
        <v>1551</v>
      </c>
      <c r="E92" s="5" t="s">
        <v>1541</v>
      </c>
      <c r="F92" s="5" t="s">
        <v>1542</v>
      </c>
      <c r="G92" s="5"/>
      <c r="H92" s="5" t="s">
        <v>1735</v>
      </c>
      <c r="I92" s="5" t="s">
        <v>1657</v>
      </c>
      <c r="J92" s="5" t="s">
        <v>1544</v>
      </c>
      <c r="K92" s="5"/>
      <c r="L92" s="5"/>
      <c r="M92" s="5" t="s">
        <v>52</v>
      </c>
      <c r="N92" s="5"/>
    </row>
    <row r="93" hidden="1" spans="1:14">
      <c r="A93" s="5">
        <v>92</v>
      </c>
      <c r="B93" s="6">
        <v>45820</v>
      </c>
      <c r="C93" s="5" t="s">
        <v>124</v>
      </c>
      <c r="D93" s="5" t="s">
        <v>1382</v>
      </c>
      <c r="E93" s="5" t="s">
        <v>1529</v>
      </c>
      <c r="F93" s="5" t="s">
        <v>1530</v>
      </c>
      <c r="G93" s="5"/>
      <c r="H93" s="5" t="s">
        <v>1736</v>
      </c>
      <c r="I93" s="5" t="s">
        <v>1659</v>
      </c>
      <c r="J93" s="5" t="s">
        <v>1533</v>
      </c>
      <c r="K93" s="5"/>
      <c r="L93" s="5"/>
      <c r="M93" s="5" t="s">
        <v>53</v>
      </c>
      <c r="N93" s="5"/>
    </row>
    <row r="94" hidden="1" spans="1:14">
      <c r="A94" s="5">
        <v>93</v>
      </c>
      <c r="B94" s="6">
        <v>45820</v>
      </c>
      <c r="C94" s="5" t="s">
        <v>183</v>
      </c>
      <c r="D94" s="5" t="s">
        <v>182</v>
      </c>
      <c r="E94" s="5" t="s">
        <v>1541</v>
      </c>
      <c r="F94" s="5" t="s">
        <v>1555</v>
      </c>
      <c r="G94" s="5"/>
      <c r="H94" s="5" t="s">
        <v>1737</v>
      </c>
      <c r="I94" s="5" t="s">
        <v>1738</v>
      </c>
      <c r="J94" s="5" t="s">
        <v>1544</v>
      </c>
      <c r="K94" s="5"/>
      <c r="L94" s="5"/>
      <c r="M94" s="5" t="s">
        <v>52</v>
      </c>
      <c r="N94" s="5"/>
    </row>
    <row r="95" hidden="1" spans="1:14">
      <c r="A95" s="5">
        <v>94</v>
      </c>
      <c r="B95" s="6">
        <v>45823</v>
      </c>
      <c r="C95" s="5" t="s">
        <v>69</v>
      </c>
      <c r="D95" s="5" t="s">
        <v>1739</v>
      </c>
      <c r="E95" s="5" t="s">
        <v>1541</v>
      </c>
      <c r="F95" s="5" t="s">
        <v>1555</v>
      </c>
      <c r="G95" s="5"/>
      <c r="H95" s="5" t="s">
        <v>1740</v>
      </c>
      <c r="I95" s="5" t="s">
        <v>1741</v>
      </c>
      <c r="J95" s="5" t="s">
        <v>1544</v>
      </c>
      <c r="K95" s="5"/>
      <c r="L95" s="5"/>
      <c r="M95" s="5" t="s">
        <v>52</v>
      </c>
      <c r="N95" s="5" t="s">
        <v>336</v>
      </c>
    </row>
    <row r="96" hidden="1" spans="1:14">
      <c r="A96" s="5">
        <v>95</v>
      </c>
      <c r="B96" s="6">
        <v>45825</v>
      </c>
      <c r="C96" s="5" t="s">
        <v>63</v>
      </c>
      <c r="D96" s="5" t="s">
        <v>263</v>
      </c>
      <c r="E96" s="5" t="s">
        <v>1541</v>
      </c>
      <c r="F96" s="5" t="s">
        <v>1555</v>
      </c>
      <c r="G96" s="5"/>
      <c r="H96" s="5" t="s">
        <v>1742</v>
      </c>
      <c r="I96" s="5" t="s">
        <v>1724</v>
      </c>
      <c r="J96" s="5" t="s">
        <v>1533</v>
      </c>
      <c r="K96" s="5"/>
      <c r="L96" s="5"/>
      <c r="M96" s="5" t="s">
        <v>53</v>
      </c>
      <c r="N96" s="5" t="s">
        <v>1743</v>
      </c>
    </row>
    <row r="97" hidden="1" spans="1:14">
      <c r="A97" s="5">
        <v>96</v>
      </c>
      <c r="B97" s="6">
        <v>45827</v>
      </c>
      <c r="C97" s="5" t="s">
        <v>46</v>
      </c>
      <c r="D97" s="5" t="s">
        <v>1744</v>
      </c>
      <c r="E97" s="5" t="s">
        <v>1541</v>
      </c>
      <c r="F97" s="5" t="s">
        <v>1555</v>
      </c>
      <c r="G97" s="5"/>
      <c r="H97" s="5" t="s">
        <v>1745</v>
      </c>
      <c r="I97" s="5" t="s">
        <v>1746</v>
      </c>
      <c r="J97" s="5" t="s">
        <v>1544</v>
      </c>
      <c r="K97" s="5"/>
      <c r="L97" s="5"/>
      <c r="M97" s="5" t="s">
        <v>52</v>
      </c>
      <c r="N97" s="5"/>
    </row>
    <row r="98" hidden="1" spans="1:14">
      <c r="A98" s="5">
        <v>97</v>
      </c>
      <c r="B98" s="6">
        <v>45830</v>
      </c>
      <c r="C98" s="5" t="s">
        <v>63</v>
      </c>
      <c r="D98" s="5" t="s">
        <v>263</v>
      </c>
      <c r="E98" s="5" t="s">
        <v>1541</v>
      </c>
      <c r="F98" s="5" t="s">
        <v>1555</v>
      </c>
      <c r="G98" s="5"/>
      <c r="H98" s="5" t="s">
        <v>1747</v>
      </c>
      <c r="I98" s="5" t="s">
        <v>1724</v>
      </c>
      <c r="J98" s="5" t="s">
        <v>1533</v>
      </c>
      <c r="K98" s="5"/>
      <c r="L98" s="5"/>
      <c r="M98" s="5" t="s">
        <v>53</v>
      </c>
      <c r="N98" s="5"/>
    </row>
    <row r="99" hidden="1" spans="1:14">
      <c r="A99" s="5">
        <v>98</v>
      </c>
      <c r="B99" s="6">
        <v>45831</v>
      </c>
      <c r="C99" s="5" t="s">
        <v>103</v>
      </c>
      <c r="D99" s="5" t="s">
        <v>1748</v>
      </c>
      <c r="E99" s="5" t="s">
        <v>1541</v>
      </c>
      <c r="F99" s="5" t="s">
        <v>1542</v>
      </c>
      <c r="G99" s="5"/>
      <c r="H99" s="5" t="s">
        <v>1749</v>
      </c>
      <c r="I99" s="5" t="s">
        <v>1550</v>
      </c>
      <c r="J99" s="5" t="s">
        <v>1533</v>
      </c>
      <c r="K99" s="5"/>
      <c r="L99" s="5"/>
      <c r="M99" s="5" t="s">
        <v>53</v>
      </c>
      <c r="N99" s="5" t="s">
        <v>83</v>
      </c>
    </row>
    <row r="100" hidden="1" spans="1:14">
      <c r="A100" s="5">
        <v>99</v>
      </c>
      <c r="B100" s="6">
        <v>45833</v>
      </c>
      <c r="C100" s="5" t="s">
        <v>1141</v>
      </c>
      <c r="D100" s="5" t="s">
        <v>1329</v>
      </c>
      <c r="E100" s="5" t="s">
        <v>1541</v>
      </c>
      <c r="F100" s="5" t="s">
        <v>1555</v>
      </c>
      <c r="G100" s="5"/>
      <c r="H100" s="5" t="s">
        <v>1750</v>
      </c>
      <c r="I100" s="5" t="s">
        <v>1638</v>
      </c>
      <c r="J100" s="5" t="s">
        <v>1533</v>
      </c>
      <c r="K100" s="5"/>
      <c r="L100" s="5"/>
      <c r="M100" s="5" t="s">
        <v>53</v>
      </c>
      <c r="N100" s="5"/>
    </row>
    <row r="101" hidden="1" spans="1:14">
      <c r="A101" s="5">
        <v>100</v>
      </c>
      <c r="B101" s="6">
        <v>45834</v>
      </c>
      <c r="C101" s="5" t="s">
        <v>643</v>
      </c>
      <c r="D101" s="5" t="s">
        <v>1751</v>
      </c>
      <c r="E101" s="5" t="s">
        <v>1541</v>
      </c>
      <c r="F101" s="5" t="s">
        <v>1660</v>
      </c>
      <c r="G101" s="5"/>
      <c r="H101" s="5" t="s">
        <v>1752</v>
      </c>
      <c r="I101" s="5" t="s">
        <v>1753</v>
      </c>
      <c r="J101" s="5" t="s">
        <v>1544</v>
      </c>
      <c r="K101" s="5"/>
      <c r="L101" s="5"/>
      <c r="M101" s="5" t="s">
        <v>52</v>
      </c>
      <c r="N101" s="5"/>
    </row>
    <row r="102" hidden="1" spans="1:14">
      <c r="A102" s="5">
        <v>101</v>
      </c>
      <c r="B102" s="6">
        <v>45837</v>
      </c>
      <c r="C102" s="5" t="s">
        <v>115</v>
      </c>
      <c r="D102" s="5" t="s">
        <v>1754</v>
      </c>
      <c r="E102" s="5" t="s">
        <v>1529</v>
      </c>
      <c r="F102" s="5" t="s">
        <v>1588</v>
      </c>
      <c r="G102" s="5"/>
      <c r="H102" s="5" t="s">
        <v>1755</v>
      </c>
      <c r="I102" s="5" t="s">
        <v>1756</v>
      </c>
      <c r="J102" s="5" t="s">
        <v>1533</v>
      </c>
      <c r="K102" s="5"/>
      <c r="L102" s="5"/>
      <c r="M102" s="5" t="s">
        <v>53</v>
      </c>
      <c r="N102" s="5"/>
    </row>
    <row r="103" hidden="1" spans="1:14">
      <c r="A103" s="5">
        <v>102</v>
      </c>
      <c r="B103" s="6">
        <v>45835</v>
      </c>
      <c r="C103" s="5" t="s">
        <v>1141</v>
      </c>
      <c r="D103" s="5" t="s">
        <v>1507</v>
      </c>
      <c r="E103" s="5" t="s">
        <v>1529</v>
      </c>
      <c r="F103" s="5" t="s">
        <v>1588</v>
      </c>
      <c r="G103" s="5"/>
      <c r="H103" s="5" t="s">
        <v>1757</v>
      </c>
      <c r="I103" s="5" t="s">
        <v>1758</v>
      </c>
      <c r="J103" s="5" t="s">
        <v>1533</v>
      </c>
      <c r="K103" s="5"/>
      <c r="L103" s="5"/>
      <c r="M103" s="5" t="s">
        <v>53</v>
      </c>
      <c r="N103" s="5"/>
    </row>
    <row r="104" hidden="1" spans="1:14">
      <c r="A104" s="5">
        <v>103</v>
      </c>
      <c r="B104" s="6">
        <v>45840</v>
      </c>
      <c r="C104" s="5" t="s">
        <v>1141</v>
      </c>
      <c r="D104" s="5" t="s">
        <v>1575</v>
      </c>
      <c r="E104" s="5" t="s">
        <v>1541</v>
      </c>
      <c r="F104" s="5" t="s">
        <v>692</v>
      </c>
      <c r="G104" s="5" t="s">
        <v>1759</v>
      </c>
      <c r="H104" s="5" t="s">
        <v>1760</v>
      </c>
      <c r="I104" s="5" t="s">
        <v>1701</v>
      </c>
      <c r="J104" s="5" t="s">
        <v>1533</v>
      </c>
      <c r="K104" s="5"/>
      <c r="L104" s="5"/>
      <c r="M104" s="5" t="s">
        <v>53</v>
      </c>
      <c r="N104" s="5"/>
    </row>
    <row r="105" hidden="1" spans="1:14">
      <c r="A105" s="5">
        <v>104</v>
      </c>
      <c r="B105" s="6">
        <v>45840</v>
      </c>
      <c r="C105" s="5" t="s">
        <v>1141</v>
      </c>
      <c r="D105" s="5" t="s">
        <v>1329</v>
      </c>
      <c r="E105" s="5" t="s">
        <v>1541</v>
      </c>
      <c r="F105" s="5" t="s">
        <v>1573</v>
      </c>
      <c r="G105" s="5" t="s">
        <v>1761</v>
      </c>
      <c r="H105" s="5" t="s">
        <v>1762</v>
      </c>
      <c r="I105" s="5" t="s">
        <v>1761</v>
      </c>
      <c r="J105" s="5" t="s">
        <v>1533</v>
      </c>
      <c r="K105" s="5"/>
      <c r="L105" s="5"/>
      <c r="M105" s="5" t="s">
        <v>53</v>
      </c>
      <c r="N105" s="5"/>
    </row>
    <row r="106" hidden="1" spans="1:14">
      <c r="A106" s="5">
        <v>105</v>
      </c>
      <c r="B106" s="6">
        <v>45841</v>
      </c>
      <c r="C106" s="5" t="s">
        <v>46</v>
      </c>
      <c r="D106" s="5" t="s">
        <v>1606</v>
      </c>
      <c r="E106" s="5" t="s">
        <v>1541</v>
      </c>
      <c r="F106" s="5" t="s">
        <v>1728</v>
      </c>
      <c r="G106" s="5" t="s">
        <v>1763</v>
      </c>
      <c r="H106" s="5" t="s">
        <v>1764</v>
      </c>
      <c r="I106" s="5" t="s">
        <v>1631</v>
      </c>
      <c r="J106" s="5" t="s">
        <v>1533</v>
      </c>
      <c r="K106" s="5"/>
      <c r="L106" s="5"/>
      <c r="M106" s="5" t="s">
        <v>53</v>
      </c>
      <c r="N106" s="5"/>
    </row>
    <row r="107" hidden="1" spans="1:14">
      <c r="A107" s="5">
        <v>106</v>
      </c>
      <c r="B107" s="6">
        <v>45842</v>
      </c>
      <c r="C107" s="5" t="s">
        <v>46</v>
      </c>
      <c r="D107" s="5" t="s">
        <v>1606</v>
      </c>
      <c r="E107" s="5" t="s">
        <v>1541</v>
      </c>
      <c r="F107" s="5" t="s">
        <v>1728</v>
      </c>
      <c r="G107" s="5" t="s">
        <v>1765</v>
      </c>
      <c r="H107" s="5" t="s">
        <v>1766</v>
      </c>
      <c r="I107" s="5" t="s">
        <v>1631</v>
      </c>
      <c r="J107" s="5" t="s">
        <v>1544</v>
      </c>
      <c r="K107" s="5"/>
      <c r="L107" s="5"/>
      <c r="M107" s="5" t="s">
        <v>52</v>
      </c>
      <c r="N107" s="5"/>
    </row>
    <row r="108" hidden="1" spans="1:14">
      <c r="A108" s="5">
        <v>107</v>
      </c>
      <c r="B108" s="6">
        <v>45843</v>
      </c>
      <c r="C108" s="5" t="s">
        <v>103</v>
      </c>
      <c r="D108" s="5" t="s">
        <v>1615</v>
      </c>
      <c r="E108" s="5" t="s">
        <v>1547</v>
      </c>
      <c r="F108" s="5" t="s">
        <v>692</v>
      </c>
      <c r="G108" s="5" t="s">
        <v>1767</v>
      </c>
      <c r="H108" s="5" t="s">
        <v>1768</v>
      </c>
      <c r="I108" s="5" t="s">
        <v>1769</v>
      </c>
      <c r="J108" s="5" t="s">
        <v>1533</v>
      </c>
      <c r="K108" s="5"/>
      <c r="L108" s="5"/>
      <c r="M108" s="5" t="s">
        <v>53</v>
      </c>
      <c r="N108" s="5"/>
    </row>
    <row r="109" hidden="1" spans="1:14">
      <c r="A109" s="5">
        <v>108</v>
      </c>
      <c r="B109" s="6">
        <v>45845</v>
      </c>
      <c r="C109" s="5" t="s">
        <v>103</v>
      </c>
      <c r="D109" s="5" t="s">
        <v>1748</v>
      </c>
      <c r="E109" s="5" t="s">
        <v>1547</v>
      </c>
      <c r="F109" s="5" t="s">
        <v>692</v>
      </c>
      <c r="G109" s="5" t="s">
        <v>1770</v>
      </c>
      <c r="H109" s="5" t="s">
        <v>1771</v>
      </c>
      <c r="I109" s="5" t="s">
        <v>1772</v>
      </c>
      <c r="J109" s="5" t="s">
        <v>1533</v>
      </c>
      <c r="K109" s="5"/>
      <c r="L109" s="5"/>
      <c r="M109" s="5" t="s">
        <v>53</v>
      </c>
      <c r="N109" s="5"/>
    </row>
    <row r="110" hidden="1" spans="1:14">
      <c r="A110" s="5">
        <v>109</v>
      </c>
      <c r="B110" s="6">
        <v>45847</v>
      </c>
      <c r="C110" s="5" t="s">
        <v>124</v>
      </c>
      <c r="D110" s="5" t="s">
        <v>1536</v>
      </c>
      <c r="E110" s="5" t="s">
        <v>1529</v>
      </c>
      <c r="F110" s="5" t="s">
        <v>1588</v>
      </c>
      <c r="G110" s="5" t="s">
        <v>1773</v>
      </c>
      <c r="H110" s="5" t="s">
        <v>1774</v>
      </c>
      <c r="I110" s="5" t="s">
        <v>1775</v>
      </c>
      <c r="J110" s="5" t="s">
        <v>1533</v>
      </c>
      <c r="K110" s="5"/>
      <c r="L110" s="5"/>
      <c r="M110" s="5" t="s">
        <v>53</v>
      </c>
      <c r="N110" s="5"/>
    </row>
    <row r="111" hidden="1" spans="1:14">
      <c r="A111" s="5">
        <v>110</v>
      </c>
      <c r="B111" s="6">
        <v>45848</v>
      </c>
      <c r="C111" s="5" t="s">
        <v>74</v>
      </c>
      <c r="D111" s="5" t="s">
        <v>1107</v>
      </c>
      <c r="E111" s="5" t="s">
        <v>1541</v>
      </c>
      <c r="F111" s="5" t="s">
        <v>1555</v>
      </c>
      <c r="G111" s="5" t="s">
        <v>1776</v>
      </c>
      <c r="H111" s="5" t="s">
        <v>1777</v>
      </c>
      <c r="I111" s="5" t="s">
        <v>1778</v>
      </c>
      <c r="J111" s="5" t="s">
        <v>1558</v>
      </c>
      <c r="K111" s="5"/>
      <c r="L111" s="5"/>
      <c r="M111" s="5" t="s">
        <v>52</v>
      </c>
      <c r="N111" s="5"/>
    </row>
    <row r="112" hidden="1" spans="1:14">
      <c r="A112" s="5">
        <v>111</v>
      </c>
      <c r="B112" s="6">
        <v>45848</v>
      </c>
      <c r="C112" s="5" t="s">
        <v>80</v>
      </c>
      <c r="D112" s="5" t="s">
        <v>1551</v>
      </c>
      <c r="E112" s="5" t="s">
        <v>1541</v>
      </c>
      <c r="F112" s="5" t="s">
        <v>1542</v>
      </c>
      <c r="G112" s="5" t="s">
        <v>1779</v>
      </c>
      <c r="H112" s="5" t="s">
        <v>1780</v>
      </c>
      <c r="I112" s="5" t="s">
        <v>1672</v>
      </c>
      <c r="J112" s="5" t="s">
        <v>1544</v>
      </c>
      <c r="K112" s="5"/>
      <c r="L112" s="5"/>
      <c r="M112" s="5" t="s">
        <v>52</v>
      </c>
      <c r="N112" s="5"/>
    </row>
    <row r="113" hidden="1" spans="1:14">
      <c r="A113" s="5">
        <v>112</v>
      </c>
      <c r="B113" s="6">
        <v>45852</v>
      </c>
      <c r="C113" s="5" t="s">
        <v>90</v>
      </c>
      <c r="D113" s="5" t="s">
        <v>1781</v>
      </c>
      <c r="E113" s="5" t="s">
        <v>1541</v>
      </c>
      <c r="F113" s="5" t="s">
        <v>1555</v>
      </c>
      <c r="G113" s="5" t="s">
        <v>1782</v>
      </c>
      <c r="H113" s="5" t="s">
        <v>1783</v>
      </c>
      <c r="I113" s="5" t="s">
        <v>1601</v>
      </c>
      <c r="J113" s="5" t="s">
        <v>1544</v>
      </c>
      <c r="K113" s="5"/>
      <c r="L113" s="5"/>
      <c r="M113" s="5" t="s">
        <v>52</v>
      </c>
      <c r="N113" s="5"/>
    </row>
    <row r="114" hidden="1" spans="1:14">
      <c r="A114" s="5">
        <v>113</v>
      </c>
      <c r="B114" s="6">
        <v>45854</v>
      </c>
      <c r="C114" s="5" t="s">
        <v>103</v>
      </c>
      <c r="D114" s="5" t="s">
        <v>1546</v>
      </c>
      <c r="E114" s="5" t="s">
        <v>1547</v>
      </c>
      <c r="F114" s="5" t="s">
        <v>1548</v>
      </c>
      <c r="G114" s="5" t="s">
        <v>1784</v>
      </c>
      <c r="H114" s="5" t="s">
        <v>1785</v>
      </c>
      <c r="I114" s="5" t="s">
        <v>1704</v>
      </c>
      <c r="J114" s="5" t="s">
        <v>1533</v>
      </c>
      <c r="K114" s="5"/>
      <c r="L114" s="5"/>
      <c r="M114" s="5" t="s">
        <v>53</v>
      </c>
      <c r="N114" s="5"/>
    </row>
    <row r="115" hidden="1" spans="1:14">
      <c r="A115" s="5">
        <v>114</v>
      </c>
      <c r="B115" s="6">
        <v>45857</v>
      </c>
      <c r="C115" s="5" t="s">
        <v>80</v>
      </c>
      <c r="D115" s="5" t="s">
        <v>1551</v>
      </c>
      <c r="E115" s="5" t="s">
        <v>1529</v>
      </c>
      <c r="F115" s="5" t="s">
        <v>1588</v>
      </c>
      <c r="G115" s="5" t="s">
        <v>1786</v>
      </c>
      <c r="H115" s="5" t="s">
        <v>1787</v>
      </c>
      <c r="I115" s="5" t="s">
        <v>1672</v>
      </c>
      <c r="J115" s="5" t="s">
        <v>1544</v>
      </c>
      <c r="K115" s="5"/>
      <c r="L115" s="5"/>
      <c r="M115" s="5" t="s">
        <v>53</v>
      </c>
      <c r="N115" s="5"/>
    </row>
    <row r="116" hidden="1" spans="1:14">
      <c r="A116" s="5">
        <v>115</v>
      </c>
      <c r="B116" s="6">
        <v>45859</v>
      </c>
      <c r="C116" s="5" t="s">
        <v>124</v>
      </c>
      <c r="D116" s="5" t="s">
        <v>1503</v>
      </c>
      <c r="E116" s="5" t="s">
        <v>1541</v>
      </c>
      <c r="F116" s="5" t="s">
        <v>1660</v>
      </c>
      <c r="G116" s="5" t="s">
        <v>1788</v>
      </c>
      <c r="H116" s="5" t="s">
        <v>1789</v>
      </c>
      <c r="I116" s="5" t="s">
        <v>1790</v>
      </c>
      <c r="J116" s="5" t="s">
        <v>1533</v>
      </c>
      <c r="K116" s="5"/>
      <c r="L116" s="5"/>
      <c r="M116" s="5" t="s">
        <v>53</v>
      </c>
      <c r="N116" s="5"/>
    </row>
    <row r="117" hidden="1" spans="1:14">
      <c r="A117" s="5">
        <v>116</v>
      </c>
      <c r="B117" s="6">
        <v>45862</v>
      </c>
      <c r="C117" s="5" t="s">
        <v>95</v>
      </c>
      <c r="D117" s="5" t="s">
        <v>1681</v>
      </c>
      <c r="E117" s="5" t="s">
        <v>1541</v>
      </c>
      <c r="F117" s="5" t="s">
        <v>1555</v>
      </c>
      <c r="G117" s="5" t="s">
        <v>1791</v>
      </c>
      <c r="H117" s="5" t="s">
        <v>1792</v>
      </c>
      <c r="I117" s="5" t="s">
        <v>1683</v>
      </c>
      <c r="J117" s="5" t="s">
        <v>1533</v>
      </c>
      <c r="K117" s="5"/>
      <c r="L117" s="5"/>
      <c r="M117" s="5" t="s">
        <v>53</v>
      </c>
      <c r="N117" s="5"/>
    </row>
    <row r="118" hidden="1" spans="1:14">
      <c r="A118" s="5">
        <v>117</v>
      </c>
      <c r="B118" s="6">
        <v>45863</v>
      </c>
      <c r="C118" s="5" t="s">
        <v>115</v>
      </c>
      <c r="D118" s="5" t="s">
        <v>1754</v>
      </c>
      <c r="E118" s="5" t="s">
        <v>1541</v>
      </c>
      <c r="F118" s="5" t="s">
        <v>1542</v>
      </c>
      <c r="G118" s="5" t="s">
        <v>1793</v>
      </c>
      <c r="H118" s="5" t="s">
        <v>1794</v>
      </c>
      <c r="I118" s="5" t="s">
        <v>1756</v>
      </c>
      <c r="J118" s="5" t="s">
        <v>1544</v>
      </c>
      <c r="K118" s="5"/>
      <c r="L118" s="5"/>
      <c r="M118" s="5" t="s">
        <v>52</v>
      </c>
      <c r="N118" s="5"/>
    </row>
    <row r="119" hidden="1" spans="1:14">
      <c r="A119" s="5">
        <v>118</v>
      </c>
      <c r="B119" s="6">
        <v>45863</v>
      </c>
      <c r="C119" s="5" t="s">
        <v>80</v>
      </c>
      <c r="D119" s="5" t="s">
        <v>1551</v>
      </c>
      <c r="E119" s="5" t="s">
        <v>1541</v>
      </c>
      <c r="F119" s="5" t="s">
        <v>1555</v>
      </c>
      <c r="G119" s="5" t="s">
        <v>1795</v>
      </c>
      <c r="H119" s="5" t="s">
        <v>1796</v>
      </c>
      <c r="I119" s="5" t="s">
        <v>1672</v>
      </c>
      <c r="J119" s="5" t="s">
        <v>1544</v>
      </c>
      <c r="K119" s="5"/>
      <c r="L119" s="5"/>
      <c r="M119" s="5" t="s">
        <v>52</v>
      </c>
      <c r="N119" s="5"/>
    </row>
    <row r="120" hidden="1" spans="1:14">
      <c r="A120" s="5">
        <v>119</v>
      </c>
      <c r="B120" s="6">
        <v>45865</v>
      </c>
      <c r="C120" s="5" t="s">
        <v>63</v>
      </c>
      <c r="D120" s="5" t="s">
        <v>263</v>
      </c>
      <c r="E120" s="5" t="s">
        <v>1529</v>
      </c>
      <c r="F120" s="5" t="s">
        <v>1588</v>
      </c>
      <c r="G120" s="5" t="s">
        <v>1797</v>
      </c>
      <c r="H120" s="5" t="s">
        <v>1798</v>
      </c>
      <c r="I120" s="5" t="s">
        <v>1724</v>
      </c>
      <c r="J120" s="5" t="s">
        <v>1544</v>
      </c>
      <c r="K120" s="5"/>
      <c r="L120" s="5"/>
      <c r="M120" s="5" t="s">
        <v>53</v>
      </c>
      <c r="N120" s="5"/>
    </row>
    <row r="121" hidden="1" spans="1:14">
      <c r="A121" s="5">
        <v>120</v>
      </c>
      <c r="B121" s="6">
        <v>45868</v>
      </c>
      <c r="C121" s="5" t="s">
        <v>95</v>
      </c>
      <c r="D121" s="5" t="s">
        <v>1725</v>
      </c>
      <c r="E121" s="5" t="s">
        <v>1547</v>
      </c>
      <c r="F121" s="5" t="s">
        <v>692</v>
      </c>
      <c r="G121" s="5" t="s">
        <v>1799</v>
      </c>
      <c r="H121" s="5" t="s">
        <v>1800</v>
      </c>
      <c r="I121" s="5" t="s">
        <v>1801</v>
      </c>
      <c r="J121" s="5" t="s">
        <v>1533</v>
      </c>
      <c r="K121" s="5"/>
      <c r="L121" s="5"/>
      <c r="M121" s="5" t="s">
        <v>53</v>
      </c>
      <c r="N121" s="5" t="s">
        <v>1802</v>
      </c>
    </row>
    <row r="122" hidden="1" spans="1:14">
      <c r="A122" s="5">
        <v>121</v>
      </c>
      <c r="B122" s="6">
        <v>45870</v>
      </c>
      <c r="C122" s="5" t="s">
        <v>124</v>
      </c>
      <c r="D122" s="5" t="s">
        <v>1382</v>
      </c>
      <c r="E122" s="5" t="s">
        <v>1541</v>
      </c>
      <c r="F122" s="5" t="s">
        <v>1555</v>
      </c>
      <c r="G122" s="5" t="s">
        <v>1803</v>
      </c>
      <c r="H122" s="5" t="s">
        <v>1804</v>
      </c>
      <c r="I122" s="5" t="s">
        <v>1805</v>
      </c>
      <c r="J122" s="5" t="s">
        <v>1533</v>
      </c>
      <c r="K122" s="5"/>
      <c r="L122" s="5"/>
      <c r="M122" s="5" t="s">
        <v>53</v>
      </c>
      <c r="N122" s="5"/>
    </row>
    <row r="123" hidden="1" spans="1:14">
      <c r="A123" s="5">
        <v>122</v>
      </c>
      <c r="B123" s="6">
        <v>45871</v>
      </c>
      <c r="C123" s="5" t="s">
        <v>373</v>
      </c>
      <c r="D123" s="5" t="s">
        <v>1580</v>
      </c>
      <c r="E123" s="5" t="s">
        <v>1541</v>
      </c>
      <c r="F123" s="5" t="s">
        <v>1542</v>
      </c>
      <c r="G123" s="5" t="s">
        <v>1806</v>
      </c>
      <c r="H123" s="5" t="s">
        <v>1807</v>
      </c>
      <c r="I123" s="5" t="s">
        <v>1808</v>
      </c>
      <c r="J123" s="5" t="s">
        <v>1544</v>
      </c>
      <c r="K123" s="5"/>
      <c r="L123" s="5"/>
      <c r="M123" s="5" t="s">
        <v>52</v>
      </c>
      <c r="N123" s="5"/>
    </row>
    <row r="124" hidden="1" spans="1:14">
      <c r="A124" s="5">
        <v>123</v>
      </c>
      <c r="B124" s="6">
        <v>45872</v>
      </c>
      <c r="C124" s="5" t="s">
        <v>103</v>
      </c>
      <c r="D124" s="5" t="s">
        <v>1298</v>
      </c>
      <c r="E124" s="5" t="s">
        <v>1541</v>
      </c>
      <c r="F124" s="5" t="s">
        <v>1555</v>
      </c>
      <c r="G124" s="5" t="s">
        <v>1809</v>
      </c>
      <c r="H124" s="5" t="s">
        <v>1810</v>
      </c>
      <c r="I124" s="5" t="s">
        <v>1811</v>
      </c>
      <c r="J124" s="5" t="s">
        <v>1544</v>
      </c>
      <c r="K124" s="5"/>
      <c r="L124" s="5"/>
      <c r="M124" s="5" t="s">
        <v>52</v>
      </c>
      <c r="N124" s="5"/>
    </row>
    <row r="125" hidden="1" spans="1:14">
      <c r="A125" s="5">
        <v>124</v>
      </c>
      <c r="B125" s="6">
        <v>45873</v>
      </c>
      <c r="C125" s="5" t="s">
        <v>237</v>
      </c>
      <c r="D125" s="5" t="s">
        <v>1254</v>
      </c>
      <c r="E125" s="5" t="s">
        <v>1547</v>
      </c>
      <c r="F125" s="5" t="s">
        <v>692</v>
      </c>
      <c r="G125" s="5" t="s">
        <v>1812</v>
      </c>
      <c r="H125" s="5" t="s">
        <v>1813</v>
      </c>
      <c r="I125" s="5" t="s">
        <v>1814</v>
      </c>
      <c r="J125" s="5" t="s">
        <v>1533</v>
      </c>
      <c r="K125" s="5"/>
      <c r="L125" s="5"/>
      <c r="M125" s="5" t="s">
        <v>53</v>
      </c>
      <c r="N125" s="5"/>
    </row>
    <row r="126" hidden="1" spans="1:14">
      <c r="A126" s="5">
        <v>125</v>
      </c>
      <c r="B126" s="6">
        <v>45873</v>
      </c>
      <c r="C126" s="5" t="s">
        <v>237</v>
      </c>
      <c r="D126" s="5" t="s">
        <v>1254</v>
      </c>
      <c r="E126" s="5" t="s">
        <v>1547</v>
      </c>
      <c r="F126" s="5" t="s">
        <v>692</v>
      </c>
      <c r="G126" s="5" t="s">
        <v>1815</v>
      </c>
      <c r="H126" s="5" t="s">
        <v>1816</v>
      </c>
      <c r="I126" s="5" t="s">
        <v>1814</v>
      </c>
      <c r="J126" s="5" t="s">
        <v>1533</v>
      </c>
      <c r="K126" s="5"/>
      <c r="L126" s="5"/>
      <c r="M126" s="5" t="s">
        <v>53</v>
      </c>
      <c r="N126" s="5"/>
    </row>
    <row r="127" hidden="1" spans="1:14">
      <c r="A127" s="5">
        <v>126</v>
      </c>
      <c r="B127" s="6">
        <v>45873</v>
      </c>
      <c r="C127" s="5" t="s">
        <v>80</v>
      </c>
      <c r="D127" s="5" t="s">
        <v>1551</v>
      </c>
      <c r="E127" s="5" t="s">
        <v>1541</v>
      </c>
      <c r="F127" s="5" t="s">
        <v>1573</v>
      </c>
      <c r="G127" s="5" t="s">
        <v>1817</v>
      </c>
      <c r="H127" s="5" t="s">
        <v>1818</v>
      </c>
      <c r="I127" s="5" t="s">
        <v>1672</v>
      </c>
      <c r="J127" s="5" t="s">
        <v>1533</v>
      </c>
      <c r="K127" s="5"/>
      <c r="L127" s="5"/>
      <c r="M127" s="5" t="s">
        <v>53</v>
      </c>
      <c r="N127" s="5"/>
    </row>
    <row r="128" hidden="1" spans="1:14">
      <c r="A128" s="5">
        <v>127</v>
      </c>
      <c r="B128" s="6">
        <v>45874</v>
      </c>
      <c r="C128" s="5" t="s">
        <v>237</v>
      </c>
      <c r="D128" s="5" t="s">
        <v>1254</v>
      </c>
      <c r="E128" s="5" t="s">
        <v>1547</v>
      </c>
      <c r="F128" s="5" t="s">
        <v>692</v>
      </c>
      <c r="G128" s="5" t="s">
        <v>1819</v>
      </c>
      <c r="H128" s="5" t="s">
        <v>1820</v>
      </c>
      <c r="I128" s="5" t="s">
        <v>1814</v>
      </c>
      <c r="J128" s="5" t="s">
        <v>1533</v>
      </c>
      <c r="K128" s="5"/>
      <c r="L128" s="5"/>
      <c r="M128" s="5" t="s">
        <v>53</v>
      </c>
      <c r="N128" s="5"/>
    </row>
    <row r="129" hidden="1" spans="1:14">
      <c r="A129" s="5">
        <v>128</v>
      </c>
      <c r="B129" s="6">
        <v>45873</v>
      </c>
      <c r="C129" s="5" t="s">
        <v>80</v>
      </c>
      <c r="D129" s="5" t="s">
        <v>1551</v>
      </c>
      <c r="E129" s="5" t="s">
        <v>1529</v>
      </c>
      <c r="F129" s="5" t="s">
        <v>1588</v>
      </c>
      <c r="G129" s="5" t="s">
        <v>1821</v>
      </c>
      <c r="H129" s="5" t="s">
        <v>1822</v>
      </c>
      <c r="I129" s="5" t="s">
        <v>1672</v>
      </c>
      <c r="J129" s="5" t="s">
        <v>1544</v>
      </c>
      <c r="K129" s="5"/>
      <c r="L129" s="5"/>
      <c r="M129" s="5" t="s">
        <v>53</v>
      </c>
      <c r="N129" s="5"/>
    </row>
    <row r="130" hidden="1" spans="1:14">
      <c r="A130" s="5">
        <v>129</v>
      </c>
      <c r="B130" s="6">
        <v>45876</v>
      </c>
      <c r="C130" s="5" t="s">
        <v>103</v>
      </c>
      <c r="D130" s="5" t="s">
        <v>1615</v>
      </c>
      <c r="E130" s="5" t="s">
        <v>1547</v>
      </c>
      <c r="F130" s="5" t="s">
        <v>692</v>
      </c>
      <c r="G130" s="5" t="s">
        <v>1823</v>
      </c>
      <c r="H130" s="5" t="s">
        <v>1824</v>
      </c>
      <c r="I130" s="5" t="s">
        <v>1769</v>
      </c>
      <c r="J130" s="5" t="s">
        <v>1533</v>
      </c>
      <c r="K130" s="5"/>
      <c r="L130" s="5"/>
      <c r="M130" s="5" t="s">
        <v>53</v>
      </c>
      <c r="N130" s="5"/>
    </row>
    <row r="131" hidden="1" spans="1:14">
      <c r="A131" s="5">
        <v>130</v>
      </c>
      <c r="B131" s="6">
        <v>45876</v>
      </c>
      <c r="C131" s="5" t="s">
        <v>80</v>
      </c>
      <c r="D131" s="5" t="s">
        <v>1551</v>
      </c>
      <c r="E131" s="5" t="s">
        <v>1547</v>
      </c>
      <c r="F131" s="5" t="s">
        <v>692</v>
      </c>
      <c r="G131" s="5" t="s">
        <v>1825</v>
      </c>
      <c r="H131" s="5" t="s">
        <v>1826</v>
      </c>
      <c r="I131" s="5" t="s">
        <v>1672</v>
      </c>
      <c r="J131" s="5" t="s">
        <v>1533</v>
      </c>
      <c r="K131" s="5"/>
      <c r="L131" s="5"/>
      <c r="M131" s="5" t="s">
        <v>53</v>
      </c>
      <c r="N131" s="5"/>
    </row>
    <row r="132" hidden="1" spans="1:14">
      <c r="A132" s="5">
        <v>131</v>
      </c>
      <c r="B132" s="6">
        <v>45876</v>
      </c>
      <c r="C132" s="5" t="s">
        <v>115</v>
      </c>
      <c r="D132" s="5" t="s">
        <v>1754</v>
      </c>
      <c r="E132" s="5" t="s">
        <v>1529</v>
      </c>
      <c r="F132" s="5" t="s">
        <v>1588</v>
      </c>
      <c r="G132" s="5" t="s">
        <v>1827</v>
      </c>
      <c r="H132" s="5" t="s">
        <v>1828</v>
      </c>
      <c r="I132" s="5" t="s">
        <v>1756</v>
      </c>
      <c r="J132" s="5" t="s">
        <v>1533</v>
      </c>
      <c r="K132" s="5"/>
      <c r="L132" s="5"/>
      <c r="M132" s="5" t="s">
        <v>53</v>
      </c>
      <c r="N132" s="5"/>
    </row>
    <row r="133" hidden="1" spans="1:14">
      <c r="A133" s="5">
        <v>132</v>
      </c>
      <c r="B133" s="6">
        <v>45877</v>
      </c>
      <c r="C133" s="5" t="s">
        <v>124</v>
      </c>
      <c r="D133" s="5" t="s">
        <v>1536</v>
      </c>
      <c r="E133" s="5" t="s">
        <v>1541</v>
      </c>
      <c r="F133" s="5" t="s">
        <v>1573</v>
      </c>
      <c r="G133" s="5" t="s">
        <v>1829</v>
      </c>
      <c r="H133" s="5" t="s">
        <v>1830</v>
      </c>
      <c r="I133" s="5" t="s">
        <v>1775</v>
      </c>
      <c r="J133" s="5" t="s">
        <v>1533</v>
      </c>
      <c r="K133" s="5"/>
      <c r="L133" s="5"/>
      <c r="M133" s="5" t="s">
        <v>53</v>
      </c>
      <c r="N133" s="5"/>
    </row>
    <row r="134" hidden="1" spans="1:14">
      <c r="A134" s="5">
        <v>133</v>
      </c>
      <c r="B134" s="6">
        <v>45877</v>
      </c>
      <c r="C134" s="5" t="s">
        <v>90</v>
      </c>
      <c r="D134" s="5" t="s">
        <v>1598</v>
      </c>
      <c r="E134" s="5" t="s">
        <v>1547</v>
      </c>
      <c r="F134" s="5" t="s">
        <v>692</v>
      </c>
      <c r="G134" s="5" t="s">
        <v>1831</v>
      </c>
      <c r="H134" s="5" t="s">
        <v>1832</v>
      </c>
      <c r="I134" s="5" t="s">
        <v>1601</v>
      </c>
      <c r="J134" s="5" t="s">
        <v>1533</v>
      </c>
      <c r="K134" s="5"/>
      <c r="L134" s="5"/>
      <c r="M134" s="5" t="s">
        <v>53</v>
      </c>
      <c r="N134" s="5"/>
    </row>
    <row r="135" hidden="1" spans="1:14">
      <c r="A135" s="5">
        <v>134</v>
      </c>
      <c r="B135" s="6">
        <v>45878</v>
      </c>
      <c r="C135" s="5" t="s">
        <v>1151</v>
      </c>
      <c r="D135" s="5" t="s">
        <v>1554</v>
      </c>
      <c r="E135" s="5" t="s">
        <v>1541</v>
      </c>
      <c r="F135" s="5" t="s">
        <v>1555</v>
      </c>
      <c r="G135" s="5" t="s">
        <v>1833</v>
      </c>
      <c r="H135" s="5" t="s">
        <v>1834</v>
      </c>
      <c r="I135" s="5" t="s">
        <v>1835</v>
      </c>
      <c r="J135" s="5" t="s">
        <v>1544</v>
      </c>
      <c r="K135" s="5"/>
      <c r="L135" s="5"/>
      <c r="M135" s="5" t="s">
        <v>52</v>
      </c>
      <c r="N135" s="5"/>
    </row>
    <row r="136" hidden="1" spans="1:14">
      <c r="A136" s="5">
        <v>135</v>
      </c>
      <c r="B136" s="6">
        <v>45878</v>
      </c>
      <c r="C136" s="5" t="s">
        <v>1141</v>
      </c>
      <c r="D136" s="5" t="s">
        <v>1603</v>
      </c>
      <c r="E136" s="5" t="s">
        <v>1529</v>
      </c>
      <c r="F136" s="5" t="s">
        <v>1588</v>
      </c>
      <c r="G136" s="5" t="s">
        <v>1836</v>
      </c>
      <c r="H136" s="5" t="s">
        <v>1837</v>
      </c>
      <c r="I136" s="5" t="s">
        <v>1838</v>
      </c>
      <c r="J136" s="5" t="s">
        <v>1533</v>
      </c>
      <c r="K136" s="5"/>
      <c r="L136" s="5"/>
      <c r="M136" s="5" t="s">
        <v>53</v>
      </c>
      <c r="N136" s="5"/>
    </row>
    <row r="137" hidden="1" spans="1:14">
      <c r="A137" s="5">
        <v>136</v>
      </c>
      <c r="B137" s="6">
        <v>45879</v>
      </c>
      <c r="C137" s="5" t="s">
        <v>1151</v>
      </c>
      <c r="D137" s="5" t="s">
        <v>1554</v>
      </c>
      <c r="E137" s="5" t="s">
        <v>1541</v>
      </c>
      <c r="F137" s="5" t="s">
        <v>1573</v>
      </c>
      <c r="G137" s="5" t="s">
        <v>1839</v>
      </c>
      <c r="H137" s="5" t="s">
        <v>1840</v>
      </c>
      <c r="I137" s="5" t="s">
        <v>1835</v>
      </c>
      <c r="J137" s="5" t="s">
        <v>1533</v>
      </c>
      <c r="K137" s="5"/>
      <c r="L137" s="5"/>
      <c r="M137" s="5" t="s">
        <v>53</v>
      </c>
      <c r="N137" s="5"/>
    </row>
    <row r="138" hidden="1" spans="1:14">
      <c r="A138" s="5">
        <v>137</v>
      </c>
      <c r="B138" s="6">
        <v>45880</v>
      </c>
      <c r="C138" s="5" t="s">
        <v>103</v>
      </c>
      <c r="D138" s="5" t="s">
        <v>1632</v>
      </c>
      <c r="E138" s="5" t="s">
        <v>1547</v>
      </c>
      <c r="F138" s="5" t="s">
        <v>1548</v>
      </c>
      <c r="G138" s="5" t="s">
        <v>1841</v>
      </c>
      <c r="H138" s="5" t="s">
        <v>1842</v>
      </c>
      <c r="I138" s="5" t="s">
        <v>1550</v>
      </c>
      <c r="J138" s="5" t="s">
        <v>1533</v>
      </c>
      <c r="K138" s="5"/>
      <c r="L138" s="5"/>
      <c r="M138" s="5" t="s">
        <v>53</v>
      </c>
      <c r="N138" s="5" t="s">
        <v>718</v>
      </c>
    </row>
    <row r="139" hidden="1" spans="1:14">
      <c r="A139" s="5">
        <v>138</v>
      </c>
      <c r="B139" s="6">
        <v>45884</v>
      </c>
      <c r="C139" s="5" t="s">
        <v>80</v>
      </c>
      <c r="D139" s="5" t="s">
        <v>1563</v>
      </c>
      <c r="E139" s="5" t="s">
        <v>1541</v>
      </c>
      <c r="F139" s="5" t="s">
        <v>1561</v>
      </c>
      <c r="G139" s="5" t="s">
        <v>1843</v>
      </c>
      <c r="H139" s="5" t="s">
        <v>1844</v>
      </c>
      <c r="I139" s="5" t="s">
        <v>1845</v>
      </c>
      <c r="J139" s="5" t="s">
        <v>1544</v>
      </c>
      <c r="K139" s="5"/>
      <c r="L139" s="5"/>
      <c r="M139" s="5" t="s">
        <v>52</v>
      </c>
      <c r="N139" s="5"/>
    </row>
    <row r="140" hidden="1" spans="1:14">
      <c r="A140" s="5">
        <v>139</v>
      </c>
      <c r="B140" s="6">
        <v>45886</v>
      </c>
      <c r="C140" s="5" t="s">
        <v>63</v>
      </c>
      <c r="D140" s="5" t="s">
        <v>85</v>
      </c>
      <c r="E140" s="5" t="s">
        <v>1529</v>
      </c>
      <c r="F140" s="5" t="s">
        <v>1588</v>
      </c>
      <c r="G140" s="5" t="s">
        <v>1846</v>
      </c>
      <c r="H140" s="5" t="s">
        <v>1847</v>
      </c>
      <c r="I140" s="5" t="s">
        <v>1693</v>
      </c>
      <c r="J140" s="5" t="s">
        <v>1533</v>
      </c>
      <c r="K140" s="5"/>
      <c r="L140" s="5"/>
      <c r="M140" s="5" t="s">
        <v>53</v>
      </c>
      <c r="N140" s="5"/>
    </row>
    <row r="141" hidden="1" spans="1:14">
      <c r="A141" s="5">
        <v>140</v>
      </c>
      <c r="B141" s="6">
        <v>45888</v>
      </c>
      <c r="C141" s="5" t="s">
        <v>124</v>
      </c>
      <c r="D141" s="5" t="s">
        <v>1242</v>
      </c>
      <c r="E141" s="5" t="s">
        <v>1541</v>
      </c>
      <c r="F141" s="5" t="s">
        <v>1573</v>
      </c>
      <c r="G141" s="5" t="s">
        <v>1848</v>
      </c>
      <c r="H141" s="5" t="s">
        <v>1849</v>
      </c>
      <c r="I141" s="5" t="s">
        <v>1850</v>
      </c>
      <c r="J141" s="5" t="s">
        <v>1533</v>
      </c>
      <c r="K141" s="5"/>
      <c r="L141" s="5"/>
      <c r="M141" s="5" t="s">
        <v>53</v>
      </c>
      <c r="N141" s="5"/>
    </row>
    <row r="142" hidden="1" spans="1:14">
      <c r="A142" s="5">
        <v>141</v>
      </c>
      <c r="B142" s="6">
        <v>45889</v>
      </c>
      <c r="C142" s="5" t="s">
        <v>373</v>
      </c>
      <c r="D142" s="5" t="s">
        <v>1580</v>
      </c>
      <c r="E142" s="5" t="s">
        <v>1547</v>
      </c>
      <c r="F142" s="5" t="s">
        <v>1548</v>
      </c>
      <c r="G142" s="5" t="s">
        <v>1851</v>
      </c>
      <c r="H142" s="5" t="s">
        <v>1852</v>
      </c>
      <c r="I142" s="5" t="s">
        <v>1808</v>
      </c>
      <c r="J142" s="5" t="s">
        <v>1533</v>
      </c>
      <c r="K142" s="5"/>
      <c r="L142" s="5">
        <v>22000</v>
      </c>
      <c r="M142" s="5" t="s">
        <v>53</v>
      </c>
      <c r="N142" s="5"/>
    </row>
    <row r="143" hidden="1" spans="1:14">
      <c r="A143" s="5">
        <v>142</v>
      </c>
      <c r="B143" s="6">
        <v>45890</v>
      </c>
      <c r="C143" s="5" t="s">
        <v>46</v>
      </c>
      <c r="D143" s="5" t="s">
        <v>1744</v>
      </c>
      <c r="E143" s="5" t="s">
        <v>1541</v>
      </c>
      <c r="F143" s="5" t="s">
        <v>1573</v>
      </c>
      <c r="G143" s="5" t="s">
        <v>1853</v>
      </c>
      <c r="H143" s="5" t="s">
        <v>1854</v>
      </c>
      <c r="I143" s="5" t="s">
        <v>1853</v>
      </c>
      <c r="J143" s="5" t="s">
        <v>1558</v>
      </c>
      <c r="K143" s="5"/>
      <c r="L143" s="5">
        <v>15000</v>
      </c>
      <c r="M143" s="5" t="s">
        <v>52</v>
      </c>
      <c r="N143" s="5"/>
    </row>
    <row r="144" hidden="1" spans="1:14">
      <c r="A144" s="5">
        <v>143</v>
      </c>
      <c r="B144" s="6">
        <v>45892</v>
      </c>
      <c r="C144" s="5" t="s">
        <v>103</v>
      </c>
      <c r="D144" s="5" t="s">
        <v>1748</v>
      </c>
      <c r="E144" s="5" t="s">
        <v>1541</v>
      </c>
      <c r="F144" s="5" t="s">
        <v>1573</v>
      </c>
      <c r="G144" s="5" t="s">
        <v>1855</v>
      </c>
      <c r="H144" s="5" t="s">
        <v>1856</v>
      </c>
      <c r="I144" s="5" t="s">
        <v>1550</v>
      </c>
      <c r="J144" s="5" t="s">
        <v>1533</v>
      </c>
      <c r="K144" s="5"/>
      <c r="L144" s="5"/>
      <c r="M144" s="5" t="s">
        <v>53</v>
      </c>
      <c r="N144" s="5"/>
    </row>
    <row r="145" hidden="1" spans="1:14">
      <c r="A145" s="5">
        <v>144</v>
      </c>
      <c r="B145" s="6">
        <v>45892</v>
      </c>
      <c r="C145" s="5" t="s">
        <v>416</v>
      </c>
      <c r="D145" s="5" t="s">
        <v>1857</v>
      </c>
      <c r="E145" s="5" t="s">
        <v>1547</v>
      </c>
      <c r="F145" s="5" t="s">
        <v>1548</v>
      </c>
      <c r="G145" s="5" t="s">
        <v>1858</v>
      </c>
      <c r="H145" s="5" t="s">
        <v>1859</v>
      </c>
      <c r="I145" s="5" t="s">
        <v>1860</v>
      </c>
      <c r="J145" s="5" t="s">
        <v>1533</v>
      </c>
      <c r="K145" s="5"/>
      <c r="L145" s="5"/>
      <c r="M145" s="5" t="s">
        <v>53</v>
      </c>
      <c r="N145" s="5"/>
    </row>
    <row r="146" hidden="1" spans="1:14">
      <c r="A146" s="5">
        <v>145</v>
      </c>
      <c r="B146" s="6">
        <v>45892</v>
      </c>
      <c r="C146" s="5" t="s">
        <v>274</v>
      </c>
      <c r="D146" s="5" t="s">
        <v>1861</v>
      </c>
      <c r="E146" s="5" t="s">
        <v>1541</v>
      </c>
      <c r="F146" s="5" t="s">
        <v>1862</v>
      </c>
      <c r="G146" s="5" t="s">
        <v>1863</v>
      </c>
      <c r="H146" s="5" t="s">
        <v>1864</v>
      </c>
      <c r="I146" s="5" t="s">
        <v>1865</v>
      </c>
      <c r="J146" s="5" t="s">
        <v>1558</v>
      </c>
      <c r="K146" s="5"/>
      <c r="L146" s="5"/>
      <c r="M146" s="5" t="s">
        <v>52</v>
      </c>
      <c r="N146" s="5"/>
    </row>
    <row r="147" hidden="1" spans="1:14">
      <c r="A147" s="5">
        <v>146</v>
      </c>
      <c r="B147" s="6">
        <v>45893</v>
      </c>
      <c r="C147" s="5" t="s">
        <v>80</v>
      </c>
      <c r="D147" s="5" t="s">
        <v>1551</v>
      </c>
      <c r="E147" s="5" t="s">
        <v>1547</v>
      </c>
      <c r="F147" s="5" t="s">
        <v>692</v>
      </c>
      <c r="G147" s="5" t="s">
        <v>1866</v>
      </c>
      <c r="H147" s="5" t="s">
        <v>1867</v>
      </c>
      <c r="I147" s="5" t="s">
        <v>1672</v>
      </c>
      <c r="J147" s="5" t="s">
        <v>1533</v>
      </c>
      <c r="K147" s="5"/>
      <c r="L147" s="5"/>
      <c r="M147" s="5" t="s">
        <v>53</v>
      </c>
      <c r="N147" s="5"/>
    </row>
    <row r="148" hidden="1" spans="1:14">
      <c r="A148" s="5">
        <v>147</v>
      </c>
      <c r="B148" s="6">
        <v>45893</v>
      </c>
      <c r="C148" s="5" t="s">
        <v>1151</v>
      </c>
      <c r="D148" s="5" t="s">
        <v>1554</v>
      </c>
      <c r="E148" s="5" t="s">
        <v>1541</v>
      </c>
      <c r="F148" s="5" t="s">
        <v>1542</v>
      </c>
      <c r="G148" s="5" t="s">
        <v>1868</v>
      </c>
      <c r="H148" s="5" t="s">
        <v>1869</v>
      </c>
      <c r="I148" s="5" t="s">
        <v>1835</v>
      </c>
      <c r="J148" s="5" t="s">
        <v>1544</v>
      </c>
      <c r="K148" s="5"/>
      <c r="L148" s="5"/>
      <c r="M148" s="5" t="s">
        <v>52</v>
      </c>
      <c r="N148" s="5"/>
    </row>
    <row r="149" hidden="1" spans="1:14">
      <c r="A149" s="5">
        <v>148</v>
      </c>
      <c r="B149" s="6">
        <v>45894</v>
      </c>
      <c r="C149" s="5" t="s">
        <v>80</v>
      </c>
      <c r="D149" s="5" t="s">
        <v>1551</v>
      </c>
      <c r="E149" s="5" t="s">
        <v>1541</v>
      </c>
      <c r="F149" s="5" t="s">
        <v>1660</v>
      </c>
      <c r="G149" s="5" t="s">
        <v>1870</v>
      </c>
      <c r="H149" s="5" t="s">
        <v>1871</v>
      </c>
      <c r="I149" s="5" t="s">
        <v>1672</v>
      </c>
      <c r="J149" s="5" t="s">
        <v>1533</v>
      </c>
      <c r="K149" s="5"/>
      <c r="L149" s="5"/>
      <c r="M149" s="5" t="s">
        <v>53</v>
      </c>
      <c r="N149" s="5"/>
    </row>
    <row r="150" hidden="1" spans="1:14">
      <c r="A150" s="5">
        <v>149</v>
      </c>
      <c r="B150" s="6">
        <v>45896</v>
      </c>
      <c r="C150" s="5" t="s">
        <v>103</v>
      </c>
      <c r="D150" s="5" t="s">
        <v>1632</v>
      </c>
      <c r="E150" s="5" t="s">
        <v>1541</v>
      </c>
      <c r="F150" s="5" t="s">
        <v>1728</v>
      </c>
      <c r="G150" s="5" t="s">
        <v>1872</v>
      </c>
      <c r="H150" s="5" t="s">
        <v>1873</v>
      </c>
      <c r="I150" s="5" t="s">
        <v>1634</v>
      </c>
      <c r="J150" s="5" t="s">
        <v>1533</v>
      </c>
      <c r="K150" s="5"/>
      <c r="L150" s="5"/>
      <c r="M150" s="5" t="s">
        <v>53</v>
      </c>
      <c r="N150" s="5"/>
    </row>
    <row r="151" hidden="1" spans="1:14">
      <c r="A151" s="5">
        <v>150</v>
      </c>
      <c r="B151" s="6">
        <v>45899</v>
      </c>
      <c r="C151" s="5" t="s">
        <v>80</v>
      </c>
      <c r="D151" s="5" t="s">
        <v>1551</v>
      </c>
      <c r="E151" s="5" t="s">
        <v>1547</v>
      </c>
      <c r="F151" s="5" t="s">
        <v>692</v>
      </c>
      <c r="G151" s="5" t="s">
        <v>1791</v>
      </c>
      <c r="H151" s="5" t="s">
        <v>1874</v>
      </c>
      <c r="I151" s="5" t="s">
        <v>1672</v>
      </c>
      <c r="J151" s="5" t="s">
        <v>1533</v>
      </c>
      <c r="K151" s="5"/>
      <c r="L151" s="5"/>
      <c r="M151" s="5" t="s">
        <v>53</v>
      </c>
      <c r="N151" s="5"/>
    </row>
    <row r="152" hidden="1" spans="1:14">
      <c r="A152" s="5">
        <v>151</v>
      </c>
      <c r="B152" s="6">
        <v>45899</v>
      </c>
      <c r="C152" s="5" t="s">
        <v>63</v>
      </c>
      <c r="D152" s="5" t="s">
        <v>435</v>
      </c>
      <c r="E152" s="5" t="s">
        <v>1541</v>
      </c>
      <c r="F152" s="5" t="s">
        <v>1555</v>
      </c>
      <c r="G152" s="5" t="s">
        <v>1875</v>
      </c>
      <c r="H152" s="5" t="s">
        <v>1876</v>
      </c>
      <c r="I152" s="5" t="s">
        <v>1877</v>
      </c>
      <c r="J152" s="5" t="s">
        <v>1533</v>
      </c>
      <c r="K152" s="5"/>
      <c r="L152" s="5"/>
      <c r="M152" s="5" t="s">
        <v>53</v>
      </c>
      <c r="N152" s="5"/>
    </row>
    <row r="153" hidden="1" spans="1:14">
      <c r="A153" s="5">
        <v>152</v>
      </c>
      <c r="B153" s="6">
        <v>45900</v>
      </c>
      <c r="C153" s="5" t="s">
        <v>90</v>
      </c>
      <c r="D153" s="5" t="s">
        <v>1598</v>
      </c>
      <c r="E153" s="5" t="s">
        <v>1541</v>
      </c>
      <c r="F153" s="5" t="s">
        <v>1728</v>
      </c>
      <c r="G153" s="5"/>
      <c r="H153" s="5" t="s">
        <v>1878</v>
      </c>
      <c r="I153" s="5" t="s">
        <v>1601</v>
      </c>
      <c r="J153" s="5" t="s">
        <v>1544</v>
      </c>
      <c r="K153" s="5"/>
      <c r="L153" s="5"/>
      <c r="M153" s="5" t="s">
        <v>52</v>
      </c>
      <c r="N153" s="5"/>
    </row>
    <row r="154" hidden="1" spans="1:14">
      <c r="A154" s="5">
        <v>153</v>
      </c>
      <c r="B154" s="6">
        <v>45900</v>
      </c>
      <c r="C154" s="5" t="s">
        <v>115</v>
      </c>
      <c r="D154" s="5" t="s">
        <v>1322</v>
      </c>
      <c r="E154" s="5" t="s">
        <v>1541</v>
      </c>
      <c r="F154" s="5" t="s">
        <v>1555</v>
      </c>
      <c r="G154" s="5" t="s">
        <v>1879</v>
      </c>
      <c r="H154" s="5" t="s">
        <v>1880</v>
      </c>
      <c r="I154" s="5" t="s">
        <v>1881</v>
      </c>
      <c r="J154" s="5" t="s">
        <v>1544</v>
      </c>
      <c r="K154" s="5"/>
      <c r="L154" s="5"/>
      <c r="M154" s="5" t="s">
        <v>52</v>
      </c>
      <c r="N154" s="5"/>
    </row>
    <row r="155" hidden="1" spans="1:14">
      <c r="A155" s="5">
        <v>154</v>
      </c>
      <c r="B155" s="6">
        <v>45901</v>
      </c>
      <c r="C155" s="5" t="s">
        <v>80</v>
      </c>
      <c r="D155" s="5" t="s">
        <v>1551</v>
      </c>
      <c r="E155" s="5" t="s">
        <v>1529</v>
      </c>
      <c r="F155" s="5" t="s">
        <v>1588</v>
      </c>
      <c r="G155" s="5" t="s">
        <v>1882</v>
      </c>
      <c r="H155" s="5" t="s">
        <v>1883</v>
      </c>
      <c r="I155" s="5" t="s">
        <v>1672</v>
      </c>
      <c r="J155" s="5" t="s">
        <v>1533</v>
      </c>
      <c r="K155" s="5"/>
      <c r="L155" s="5"/>
      <c r="M155" s="5" t="s">
        <v>53</v>
      </c>
      <c r="N155" s="5"/>
    </row>
    <row r="156" hidden="1" spans="1:14">
      <c r="A156" s="5">
        <v>155</v>
      </c>
      <c r="B156" s="6">
        <v>45902</v>
      </c>
      <c r="C156" s="5" t="s">
        <v>103</v>
      </c>
      <c r="D156" s="5" t="s">
        <v>1632</v>
      </c>
      <c r="E156" s="5" t="s">
        <v>1541</v>
      </c>
      <c r="F156" s="5" t="s">
        <v>1573</v>
      </c>
      <c r="G156" s="5" t="s">
        <v>1884</v>
      </c>
      <c r="H156" s="5" t="s">
        <v>1885</v>
      </c>
      <c r="I156" s="5" t="s">
        <v>1634</v>
      </c>
      <c r="J156" s="5" t="s">
        <v>1533</v>
      </c>
      <c r="K156" s="5"/>
      <c r="L156" s="5"/>
      <c r="M156" s="5" t="s">
        <v>53</v>
      </c>
      <c r="N156" s="5"/>
    </row>
    <row r="157" hidden="1" spans="1:14">
      <c r="A157" s="5">
        <v>156</v>
      </c>
      <c r="B157" s="6">
        <v>45903</v>
      </c>
      <c r="C157" s="5" t="s">
        <v>80</v>
      </c>
      <c r="D157" s="5" t="s">
        <v>1551</v>
      </c>
      <c r="E157" s="5" t="s">
        <v>1541</v>
      </c>
      <c r="F157" s="5" t="s">
        <v>1555</v>
      </c>
      <c r="G157" s="5" t="s">
        <v>1886</v>
      </c>
      <c r="H157" s="5" t="s">
        <v>1887</v>
      </c>
      <c r="I157" s="5" t="s">
        <v>1672</v>
      </c>
      <c r="J157" s="5" t="s">
        <v>1533</v>
      </c>
      <c r="K157" s="5"/>
      <c r="L157" s="5"/>
      <c r="M157" s="5" t="s">
        <v>53</v>
      </c>
      <c r="N157" s="5"/>
    </row>
    <row r="158" hidden="1" spans="1:14">
      <c r="A158" s="5">
        <v>157</v>
      </c>
      <c r="B158" s="6">
        <v>45904</v>
      </c>
      <c r="C158" s="5" t="s">
        <v>1141</v>
      </c>
      <c r="D158" s="5" t="s">
        <v>1575</v>
      </c>
      <c r="E158" s="5" t="s">
        <v>1888</v>
      </c>
      <c r="F158" s="5" t="s">
        <v>1573</v>
      </c>
      <c r="G158" s="5"/>
      <c r="H158" s="5" t="s">
        <v>1889</v>
      </c>
      <c r="I158" s="5" t="s">
        <v>1567</v>
      </c>
      <c r="J158" s="5" t="s">
        <v>1558</v>
      </c>
      <c r="K158" s="5"/>
      <c r="L158" s="5"/>
      <c r="M158" s="5" t="s">
        <v>52</v>
      </c>
      <c r="N158" s="5"/>
    </row>
    <row r="159" hidden="1" spans="1:14">
      <c r="A159" s="5">
        <v>158</v>
      </c>
      <c r="B159" s="6">
        <v>45903</v>
      </c>
      <c r="C159" s="5" t="s">
        <v>103</v>
      </c>
      <c r="D159" s="5" t="s">
        <v>1748</v>
      </c>
      <c r="E159" s="5" t="s">
        <v>1541</v>
      </c>
      <c r="F159" s="5" t="s">
        <v>1573</v>
      </c>
      <c r="G159" s="5" t="s">
        <v>1890</v>
      </c>
      <c r="H159" s="5" t="s">
        <v>1891</v>
      </c>
      <c r="I159" s="5" t="s">
        <v>1550</v>
      </c>
      <c r="J159" s="5" t="s">
        <v>1533</v>
      </c>
      <c r="K159" s="5"/>
      <c r="L159" s="5"/>
      <c r="M159" s="5" t="s">
        <v>53</v>
      </c>
      <c r="N159" s="5"/>
    </row>
    <row r="160" hidden="1" spans="1:14">
      <c r="A160" s="5">
        <v>159</v>
      </c>
      <c r="B160" s="6">
        <v>45905</v>
      </c>
      <c r="C160" s="5" t="s">
        <v>80</v>
      </c>
      <c r="D160" s="5" t="s">
        <v>1563</v>
      </c>
      <c r="E160" s="5" t="s">
        <v>1529</v>
      </c>
      <c r="F160" s="5" t="s">
        <v>1588</v>
      </c>
      <c r="G160" s="5" t="s">
        <v>1892</v>
      </c>
      <c r="H160" s="5" t="s">
        <v>1893</v>
      </c>
      <c r="I160" s="5" t="s">
        <v>1845</v>
      </c>
      <c r="J160" s="5" t="s">
        <v>1533</v>
      </c>
      <c r="K160" s="5"/>
      <c r="L160" s="5"/>
      <c r="M160" s="5" t="s">
        <v>53</v>
      </c>
      <c r="N160" s="5"/>
    </row>
    <row r="161" hidden="1" spans="1:14">
      <c r="A161" s="5">
        <v>160</v>
      </c>
      <c r="B161" s="6">
        <v>45908</v>
      </c>
      <c r="C161" s="5" t="s">
        <v>95</v>
      </c>
      <c r="D161" s="5" t="s">
        <v>1681</v>
      </c>
      <c r="E161" s="5" t="s">
        <v>1541</v>
      </c>
      <c r="F161" s="5" t="s">
        <v>1555</v>
      </c>
      <c r="G161" s="5" t="s">
        <v>1894</v>
      </c>
      <c r="H161" s="5" t="s">
        <v>1895</v>
      </c>
      <c r="I161" s="5" t="s">
        <v>1683</v>
      </c>
      <c r="J161" s="5" t="s">
        <v>1544</v>
      </c>
      <c r="K161" s="5"/>
      <c r="L161" s="5"/>
      <c r="M161" s="5" t="s">
        <v>52</v>
      </c>
      <c r="N161" s="5"/>
    </row>
    <row r="162" hidden="1" spans="1:14">
      <c r="A162" s="5">
        <v>161</v>
      </c>
      <c r="B162" s="6">
        <v>45909</v>
      </c>
      <c r="C162" s="5" t="s">
        <v>80</v>
      </c>
      <c r="D162" s="5" t="s">
        <v>1551</v>
      </c>
      <c r="E162" s="5" t="s">
        <v>1541</v>
      </c>
      <c r="F162" s="5" t="s">
        <v>1573</v>
      </c>
      <c r="G162" s="5" t="s">
        <v>1896</v>
      </c>
      <c r="H162" s="5" t="s">
        <v>1897</v>
      </c>
      <c r="I162" s="5" t="s">
        <v>1672</v>
      </c>
      <c r="J162" s="5" t="s">
        <v>1533</v>
      </c>
      <c r="K162" s="5"/>
      <c r="L162" s="5"/>
      <c r="M162" s="5" t="s">
        <v>53</v>
      </c>
      <c r="N162" s="5"/>
    </row>
    <row r="163" hidden="1" spans="1:14">
      <c r="A163" s="5">
        <v>162</v>
      </c>
      <c r="B163" s="6">
        <v>45908</v>
      </c>
      <c r="C163" s="5" t="s">
        <v>63</v>
      </c>
      <c r="D163" s="5" t="s">
        <v>1568</v>
      </c>
      <c r="E163" s="5" t="s">
        <v>1529</v>
      </c>
      <c r="F163" s="5" t="s">
        <v>1593</v>
      </c>
      <c r="G163" s="5" t="s">
        <v>1898</v>
      </c>
      <c r="H163" s="5" t="s">
        <v>1899</v>
      </c>
      <c r="I163" s="5" t="s">
        <v>1900</v>
      </c>
      <c r="J163" s="5" t="s">
        <v>1544</v>
      </c>
      <c r="K163" s="5"/>
      <c r="L163" s="5"/>
      <c r="M163" s="5" t="s">
        <v>52</v>
      </c>
      <c r="N163" s="5"/>
    </row>
    <row r="164" hidden="1" spans="1:14">
      <c r="A164" s="5">
        <v>163</v>
      </c>
      <c r="B164" s="6">
        <v>45908</v>
      </c>
      <c r="C164" s="5" t="s">
        <v>103</v>
      </c>
      <c r="D164" s="5" t="s">
        <v>1632</v>
      </c>
      <c r="E164" s="5" t="s">
        <v>1541</v>
      </c>
      <c r="F164" s="5" t="s">
        <v>1555</v>
      </c>
      <c r="G164" s="5" t="s">
        <v>1901</v>
      </c>
      <c r="H164" s="5" t="s">
        <v>1902</v>
      </c>
      <c r="I164" s="5" t="s">
        <v>1634</v>
      </c>
      <c r="J164" s="5" t="s">
        <v>1533</v>
      </c>
      <c r="K164" s="5"/>
      <c r="L164" s="5"/>
      <c r="M164" s="5" t="s">
        <v>53</v>
      </c>
      <c r="N164" s="5"/>
    </row>
    <row r="165" hidden="1" spans="1:14">
      <c r="A165" s="5">
        <v>164</v>
      </c>
      <c r="B165" s="6">
        <v>45909</v>
      </c>
      <c r="C165" s="5" t="s">
        <v>46</v>
      </c>
      <c r="D165" s="5" t="s">
        <v>1744</v>
      </c>
      <c r="E165" s="5" t="s">
        <v>1541</v>
      </c>
      <c r="F165" s="5" t="s">
        <v>1573</v>
      </c>
      <c r="G165" s="5" t="s">
        <v>1903</v>
      </c>
      <c r="H165" s="5" t="s">
        <v>1904</v>
      </c>
      <c r="I165" s="5" t="s">
        <v>1746</v>
      </c>
      <c r="J165" s="5" t="s">
        <v>1533</v>
      </c>
      <c r="K165" s="5"/>
      <c r="L165" s="5"/>
      <c r="M165" s="5" t="s">
        <v>53</v>
      </c>
      <c r="N165" s="5"/>
    </row>
    <row r="166" hidden="1" spans="1:14">
      <c r="A166" s="5">
        <v>165</v>
      </c>
      <c r="B166" s="6">
        <v>45912</v>
      </c>
      <c r="C166" s="5" t="s">
        <v>103</v>
      </c>
      <c r="D166" s="5" t="s">
        <v>1546</v>
      </c>
      <c r="E166" s="5" t="s">
        <v>1541</v>
      </c>
      <c r="F166" s="5" t="s">
        <v>1555</v>
      </c>
      <c r="G166" s="5" t="s">
        <v>1905</v>
      </c>
      <c r="H166" s="5" t="s">
        <v>1906</v>
      </c>
      <c r="I166" s="5" t="s">
        <v>1907</v>
      </c>
      <c r="J166" s="5" t="s">
        <v>1533</v>
      </c>
      <c r="K166" s="5"/>
      <c r="L166" s="5"/>
      <c r="M166" s="5" t="s">
        <v>53</v>
      </c>
      <c r="N166" s="5"/>
    </row>
    <row r="167" hidden="1" spans="1:14">
      <c r="A167" s="5">
        <v>166</v>
      </c>
      <c r="B167" s="6">
        <v>45912</v>
      </c>
      <c r="C167" s="5" t="s">
        <v>124</v>
      </c>
      <c r="D167" s="5" t="s">
        <v>1908</v>
      </c>
      <c r="E167" s="5" t="s">
        <v>1541</v>
      </c>
      <c r="F167" s="5" t="s">
        <v>1660</v>
      </c>
      <c r="G167" s="5" t="s">
        <v>1909</v>
      </c>
      <c r="H167" s="5" t="s">
        <v>1910</v>
      </c>
      <c r="I167" s="5" t="s">
        <v>1911</v>
      </c>
      <c r="J167" s="5" t="s">
        <v>1533</v>
      </c>
      <c r="K167" s="5"/>
      <c r="L167" s="5"/>
      <c r="M167" s="5" t="s">
        <v>53</v>
      </c>
      <c r="N167" s="5"/>
    </row>
    <row r="168" hidden="1" spans="1:14">
      <c r="A168" s="5">
        <v>167</v>
      </c>
      <c r="B168" s="6">
        <v>45913</v>
      </c>
      <c r="C168" s="5" t="s">
        <v>1141</v>
      </c>
      <c r="D168" s="5" t="s">
        <v>1694</v>
      </c>
      <c r="E168" s="5" t="s">
        <v>1541</v>
      </c>
      <c r="F168" s="5" t="s">
        <v>1728</v>
      </c>
      <c r="G168" s="5" t="s">
        <v>1912</v>
      </c>
      <c r="H168" s="5" t="s">
        <v>1913</v>
      </c>
      <c r="I168" s="5" t="s">
        <v>1696</v>
      </c>
      <c r="J168" s="5" t="s">
        <v>1533</v>
      </c>
      <c r="K168" s="5"/>
      <c r="L168" s="5"/>
      <c r="M168" s="5" t="s">
        <v>53</v>
      </c>
      <c r="N168" s="5"/>
    </row>
    <row r="169" hidden="1" spans="1:14">
      <c r="A169" s="5">
        <v>168</v>
      </c>
      <c r="B169" s="6">
        <v>45913</v>
      </c>
      <c r="C169" s="5" t="s">
        <v>1141</v>
      </c>
      <c r="D169" s="5" t="s">
        <v>1507</v>
      </c>
      <c r="E169" s="5" t="s">
        <v>1541</v>
      </c>
      <c r="F169" s="5" t="s">
        <v>1573</v>
      </c>
      <c r="G169" s="5" t="s">
        <v>1914</v>
      </c>
      <c r="H169" s="5" t="s">
        <v>1915</v>
      </c>
      <c r="I169" s="5" t="s">
        <v>1758</v>
      </c>
      <c r="J169" s="5" t="s">
        <v>1533</v>
      </c>
      <c r="K169" s="5"/>
      <c r="L169" s="5"/>
      <c r="M169" s="5" t="s">
        <v>53</v>
      </c>
      <c r="N169" s="5"/>
    </row>
    <row r="170" hidden="1" spans="1:14">
      <c r="A170" s="5">
        <v>169</v>
      </c>
      <c r="B170" s="6">
        <v>45924</v>
      </c>
      <c r="C170" s="5" t="s">
        <v>1916</v>
      </c>
      <c r="D170" s="5" t="s">
        <v>1917</v>
      </c>
      <c r="E170" s="5" t="s">
        <v>1541</v>
      </c>
      <c r="F170" s="5" t="s">
        <v>1555</v>
      </c>
      <c r="G170" s="5" t="s">
        <v>1918</v>
      </c>
      <c r="H170" s="5" t="s">
        <v>1919</v>
      </c>
      <c r="I170" s="5" t="s">
        <v>1920</v>
      </c>
      <c r="J170" s="5" t="s">
        <v>1533</v>
      </c>
      <c r="K170" s="5"/>
      <c r="L170" s="5"/>
      <c r="M170" s="5" t="s">
        <v>53</v>
      </c>
      <c r="N170" s="5"/>
    </row>
    <row r="171" hidden="1" spans="1:14">
      <c r="A171" s="5">
        <v>170</v>
      </c>
      <c r="B171" s="6">
        <v>45925</v>
      </c>
      <c r="C171" s="5" t="s">
        <v>1916</v>
      </c>
      <c r="D171" s="5" t="s">
        <v>1917</v>
      </c>
      <c r="E171" s="5" t="s">
        <v>1529</v>
      </c>
      <c r="F171" s="5" t="s">
        <v>1588</v>
      </c>
      <c r="G171" s="5" t="s">
        <v>1921</v>
      </c>
      <c r="H171" s="5" t="s">
        <v>1922</v>
      </c>
      <c r="I171" s="5" t="s">
        <v>1920</v>
      </c>
      <c r="J171" s="5" t="s">
        <v>1533</v>
      </c>
      <c r="K171" s="5"/>
      <c r="L171" s="5"/>
      <c r="M171" s="5" t="s">
        <v>53</v>
      </c>
      <c r="N171" s="5"/>
    </row>
    <row r="172" hidden="1" spans="1:14">
      <c r="A172" s="5">
        <v>171</v>
      </c>
      <c r="B172" s="6">
        <v>45930</v>
      </c>
      <c r="C172" s="5" t="s">
        <v>124</v>
      </c>
      <c r="D172" s="5" t="s">
        <v>1503</v>
      </c>
      <c r="E172" s="5" t="s">
        <v>1610</v>
      </c>
      <c r="F172" s="5" t="s">
        <v>1923</v>
      </c>
      <c r="G172" s="5" t="s">
        <v>706</v>
      </c>
      <c r="H172" s="5" t="s">
        <v>1924</v>
      </c>
      <c r="I172" s="5" t="s">
        <v>1790</v>
      </c>
      <c r="J172" s="5" t="s">
        <v>1533</v>
      </c>
      <c r="K172" s="5"/>
      <c r="L172" s="5"/>
      <c r="M172" s="5" t="s">
        <v>53</v>
      </c>
      <c r="N172" s="5"/>
    </row>
    <row r="173" hidden="1" spans="1:14">
      <c r="A173" s="5">
        <v>172</v>
      </c>
      <c r="B173" s="6">
        <v>45932</v>
      </c>
      <c r="C173" s="5" t="s">
        <v>1141</v>
      </c>
      <c r="D173" s="5" t="s">
        <v>1575</v>
      </c>
      <c r="E173" s="5" t="s">
        <v>1541</v>
      </c>
      <c r="F173" s="5" t="s">
        <v>1542</v>
      </c>
      <c r="G173" s="5" t="s">
        <v>1925</v>
      </c>
      <c r="H173" s="5" t="s">
        <v>1926</v>
      </c>
      <c r="I173" s="5" t="s">
        <v>1701</v>
      </c>
      <c r="J173" s="5" t="s">
        <v>1544</v>
      </c>
      <c r="K173" s="5"/>
      <c r="L173" s="5"/>
      <c r="M173" s="5" t="s">
        <v>52</v>
      </c>
      <c r="N173" s="5"/>
    </row>
    <row r="174" hidden="1" spans="1:14">
      <c r="A174" s="5">
        <v>173</v>
      </c>
      <c r="B174" s="6">
        <v>45937</v>
      </c>
      <c r="C174" s="5" t="s">
        <v>80</v>
      </c>
      <c r="D174" s="5" t="s">
        <v>1551</v>
      </c>
      <c r="E174" s="5" t="s">
        <v>1529</v>
      </c>
      <c r="F174" s="5" t="s">
        <v>1588</v>
      </c>
      <c r="G174" s="5" t="s">
        <v>1927</v>
      </c>
      <c r="H174" s="5" t="s">
        <v>1928</v>
      </c>
      <c r="I174" s="5" t="s">
        <v>1672</v>
      </c>
      <c r="J174" s="5" t="s">
        <v>1533</v>
      </c>
      <c r="K174" s="5"/>
      <c r="L174" s="5"/>
      <c r="M174" s="5" t="s">
        <v>53</v>
      </c>
      <c r="N174" s="5"/>
    </row>
    <row r="175" hidden="1" spans="1:14">
      <c r="A175" s="5">
        <v>174</v>
      </c>
      <c r="B175" s="6">
        <v>45939</v>
      </c>
      <c r="C175" s="5" t="s">
        <v>80</v>
      </c>
      <c r="D175" s="5" t="s">
        <v>1551</v>
      </c>
      <c r="E175" s="5" t="s">
        <v>1541</v>
      </c>
      <c r="F175" s="5" t="s">
        <v>1555</v>
      </c>
      <c r="G175" s="5" t="s">
        <v>1929</v>
      </c>
      <c r="H175" s="5" t="s">
        <v>1930</v>
      </c>
      <c r="I175" s="5" t="s">
        <v>1672</v>
      </c>
      <c r="J175" s="5" t="s">
        <v>1544</v>
      </c>
      <c r="K175" s="5"/>
      <c r="L175" s="5"/>
      <c r="M175" s="5" t="s">
        <v>52</v>
      </c>
      <c r="N175" s="5"/>
    </row>
    <row r="176" hidden="1" spans="1:14">
      <c r="A176" s="5">
        <v>175</v>
      </c>
      <c r="B176" s="6">
        <v>45941</v>
      </c>
      <c r="C176" s="5" t="s">
        <v>80</v>
      </c>
      <c r="D176" s="5" t="s">
        <v>1551</v>
      </c>
      <c r="E176" s="5" t="s">
        <v>1541</v>
      </c>
      <c r="F176" s="5" t="s">
        <v>1555</v>
      </c>
      <c r="G176" s="5" t="s">
        <v>1931</v>
      </c>
      <c r="H176" s="5" t="s">
        <v>1932</v>
      </c>
      <c r="I176" s="5" t="s">
        <v>1672</v>
      </c>
      <c r="J176" s="5" t="s">
        <v>1544</v>
      </c>
      <c r="K176" s="5"/>
      <c r="L176" s="5"/>
      <c r="M176" s="5" t="s">
        <v>52</v>
      </c>
      <c r="N176" s="5"/>
    </row>
    <row r="177" hidden="1" spans="1:14">
      <c r="A177" s="5">
        <v>176</v>
      </c>
      <c r="B177" s="6">
        <v>45938</v>
      </c>
      <c r="C177" s="5" t="s">
        <v>115</v>
      </c>
      <c r="D177" s="5" t="s">
        <v>1754</v>
      </c>
      <c r="E177" s="5" t="s">
        <v>1529</v>
      </c>
      <c r="F177" s="5" t="s">
        <v>1588</v>
      </c>
      <c r="G177" s="5" t="s">
        <v>1933</v>
      </c>
      <c r="H177" s="5" t="s">
        <v>1934</v>
      </c>
      <c r="I177" s="5" t="s">
        <v>1756</v>
      </c>
      <c r="J177" s="5" t="s">
        <v>1533</v>
      </c>
      <c r="K177" s="5"/>
      <c r="L177" s="5"/>
      <c r="M177" s="5" t="s">
        <v>53</v>
      </c>
      <c r="N177" s="5"/>
    </row>
    <row r="178" hidden="1" spans="1:14">
      <c r="A178" s="5">
        <v>177</v>
      </c>
      <c r="B178" s="6">
        <v>45946</v>
      </c>
      <c r="C178" s="5" t="s">
        <v>80</v>
      </c>
      <c r="D178" s="5" t="s">
        <v>1551</v>
      </c>
      <c r="E178" s="5" t="s">
        <v>1541</v>
      </c>
      <c r="F178" s="5" t="s">
        <v>1555</v>
      </c>
      <c r="G178" s="5" t="s">
        <v>1935</v>
      </c>
      <c r="H178" s="5" t="s">
        <v>1936</v>
      </c>
      <c r="I178" s="5" t="s">
        <v>1672</v>
      </c>
      <c r="J178" s="5" t="s">
        <v>1544</v>
      </c>
      <c r="K178" s="5"/>
      <c r="L178" s="5"/>
      <c r="M178" s="5" t="s">
        <v>52</v>
      </c>
      <c r="N178" s="5"/>
    </row>
    <row r="179" hidden="1" spans="1:14">
      <c r="A179" s="5">
        <v>178</v>
      </c>
      <c r="B179" s="6">
        <v>45945</v>
      </c>
      <c r="C179" s="5" t="s">
        <v>274</v>
      </c>
      <c r="D179" s="5" t="s">
        <v>1028</v>
      </c>
      <c r="E179" s="5" t="s">
        <v>1541</v>
      </c>
      <c r="F179" s="5" t="s">
        <v>1542</v>
      </c>
      <c r="G179" s="5" t="s">
        <v>1937</v>
      </c>
      <c r="H179" s="5" t="s">
        <v>1938</v>
      </c>
      <c r="I179" s="5" t="s">
        <v>1939</v>
      </c>
      <c r="J179" s="5" t="s">
        <v>1544</v>
      </c>
      <c r="K179" s="5"/>
      <c r="L179" s="5"/>
      <c r="M179" s="5" t="s">
        <v>52</v>
      </c>
      <c r="N179" s="5"/>
    </row>
    <row r="180" hidden="1" spans="1:14">
      <c r="A180" s="5">
        <v>179</v>
      </c>
      <c r="B180" s="6">
        <v>45943</v>
      </c>
      <c r="C180" s="5" t="s">
        <v>46</v>
      </c>
      <c r="D180" s="5" t="s">
        <v>1123</v>
      </c>
      <c r="E180" s="5" t="s">
        <v>1541</v>
      </c>
      <c r="F180" s="5" t="s">
        <v>1542</v>
      </c>
      <c r="G180" s="5" t="s">
        <v>1940</v>
      </c>
      <c r="H180" s="5" t="s">
        <v>1941</v>
      </c>
      <c r="I180" s="5" t="s">
        <v>1644</v>
      </c>
      <c r="J180" s="5" t="s">
        <v>1544</v>
      </c>
      <c r="K180" s="5"/>
      <c r="L180" s="5"/>
      <c r="M180" s="5" t="s">
        <v>52</v>
      </c>
      <c r="N180" s="5"/>
    </row>
    <row r="181" hidden="1" spans="1:14">
      <c r="A181" s="5">
        <v>180</v>
      </c>
      <c r="B181" s="6">
        <v>45947</v>
      </c>
      <c r="C181" s="5" t="s">
        <v>1141</v>
      </c>
      <c r="D181" s="5" t="s">
        <v>1575</v>
      </c>
      <c r="E181" s="5" t="s">
        <v>1888</v>
      </c>
      <c r="F181" s="5" t="s">
        <v>1548</v>
      </c>
      <c r="G181" s="5" t="s">
        <v>1942</v>
      </c>
      <c r="H181" s="5" t="s">
        <v>1943</v>
      </c>
      <c r="I181" s="5" t="s">
        <v>1701</v>
      </c>
      <c r="J181" s="5" t="s">
        <v>1533</v>
      </c>
      <c r="K181" s="5"/>
      <c r="L181" s="5"/>
      <c r="M181" s="5" t="s">
        <v>53</v>
      </c>
      <c r="N181" s="5"/>
    </row>
    <row r="182" hidden="1" spans="1:14">
      <c r="A182" s="5">
        <v>181</v>
      </c>
      <c r="B182" s="6">
        <v>45949</v>
      </c>
      <c r="C182" s="5" t="s">
        <v>1151</v>
      </c>
      <c r="D182" s="5" t="s">
        <v>1554</v>
      </c>
      <c r="E182" s="5" t="s">
        <v>1541</v>
      </c>
      <c r="F182" s="5" t="s">
        <v>1573</v>
      </c>
      <c r="G182" s="5" t="s">
        <v>1944</v>
      </c>
      <c r="H182" s="5" t="s">
        <v>1945</v>
      </c>
      <c r="I182" s="5" t="s">
        <v>1835</v>
      </c>
      <c r="J182" s="5" t="s">
        <v>1533</v>
      </c>
      <c r="K182" s="5"/>
      <c r="L182" s="5"/>
      <c r="M182" s="5" t="s">
        <v>53</v>
      </c>
      <c r="N182" s="5"/>
    </row>
    <row r="183" hidden="1" spans="1:14">
      <c r="A183" s="5">
        <v>182</v>
      </c>
      <c r="B183" s="6">
        <v>45949</v>
      </c>
      <c r="C183" s="5" t="s">
        <v>1141</v>
      </c>
      <c r="D183" s="5" t="s">
        <v>1694</v>
      </c>
      <c r="E183" s="5" t="s">
        <v>1547</v>
      </c>
      <c r="F183" s="5" t="s">
        <v>1548</v>
      </c>
      <c r="G183" s="5" t="s">
        <v>1946</v>
      </c>
      <c r="H183" s="5" t="s">
        <v>1947</v>
      </c>
      <c r="I183" s="5" t="s">
        <v>1696</v>
      </c>
      <c r="J183" s="5" t="s">
        <v>1533</v>
      </c>
      <c r="K183" s="5"/>
      <c r="L183" s="5"/>
      <c r="M183" s="5" t="s">
        <v>53</v>
      </c>
      <c r="N183" s="5"/>
    </row>
    <row r="184" hidden="1" spans="1:14">
      <c r="A184" s="5">
        <v>183</v>
      </c>
      <c r="B184" s="6">
        <v>45954</v>
      </c>
      <c r="C184" s="5" t="s">
        <v>63</v>
      </c>
      <c r="D184" s="5" t="s">
        <v>1691</v>
      </c>
      <c r="E184" s="5" t="s">
        <v>1541</v>
      </c>
      <c r="F184" s="5" t="s">
        <v>1948</v>
      </c>
      <c r="G184" s="5" t="s">
        <v>1949</v>
      </c>
      <c r="H184" s="5" t="s">
        <v>1950</v>
      </c>
      <c r="I184" s="5" t="s">
        <v>1535</v>
      </c>
      <c r="J184" s="5" t="s">
        <v>1544</v>
      </c>
      <c r="K184" s="5"/>
      <c r="L184" s="5"/>
      <c r="M184" s="5" t="s">
        <v>52</v>
      </c>
      <c r="N184" s="5"/>
    </row>
    <row r="185" hidden="1" spans="1:14">
      <c r="A185" s="5">
        <v>184</v>
      </c>
      <c r="B185" s="6">
        <v>45954</v>
      </c>
      <c r="C185" s="5" t="s">
        <v>155</v>
      </c>
      <c r="D185" s="5" t="s">
        <v>1250</v>
      </c>
      <c r="E185" s="5" t="s">
        <v>1541</v>
      </c>
      <c r="F185" s="5" t="s">
        <v>1660</v>
      </c>
      <c r="G185" s="5" t="s">
        <v>1951</v>
      </c>
      <c r="H185" s="5" t="s">
        <v>1952</v>
      </c>
      <c r="I185" s="5" t="s">
        <v>1579</v>
      </c>
      <c r="J185" s="5" t="s">
        <v>1533</v>
      </c>
      <c r="K185" s="5"/>
      <c r="L185" s="5"/>
      <c r="M185" s="5" t="s">
        <v>53</v>
      </c>
      <c r="N185" s="5"/>
    </row>
    <row r="186" hidden="1" spans="1:14">
      <c r="A186" s="5">
        <v>185</v>
      </c>
      <c r="B186" s="6">
        <v>45955</v>
      </c>
      <c r="C186" s="5" t="s">
        <v>63</v>
      </c>
      <c r="D186" s="5" t="s">
        <v>1691</v>
      </c>
      <c r="E186" s="5" t="s">
        <v>1541</v>
      </c>
      <c r="F186" s="5" t="s">
        <v>1542</v>
      </c>
      <c r="G186" s="5" t="s">
        <v>1953</v>
      </c>
      <c r="H186" s="5" t="s">
        <v>1954</v>
      </c>
      <c r="I186" s="5" t="s">
        <v>1535</v>
      </c>
      <c r="J186" s="5" t="s">
        <v>1533</v>
      </c>
      <c r="K186" s="5"/>
      <c r="L186" s="5"/>
      <c r="M186" s="5" t="s">
        <v>53</v>
      </c>
      <c r="N186" s="5"/>
    </row>
    <row r="187" hidden="1" spans="1:14">
      <c r="A187" s="5">
        <v>186</v>
      </c>
      <c r="B187" s="6">
        <v>45955</v>
      </c>
      <c r="C187" s="5" t="s">
        <v>103</v>
      </c>
      <c r="D187" s="5" t="s">
        <v>1546</v>
      </c>
      <c r="E187" s="5" t="s">
        <v>1541</v>
      </c>
      <c r="F187" s="5" t="s">
        <v>1542</v>
      </c>
      <c r="G187" s="5" t="s">
        <v>1955</v>
      </c>
      <c r="H187" s="5" t="s">
        <v>1956</v>
      </c>
      <c r="I187" s="5" t="s">
        <v>1550</v>
      </c>
      <c r="J187" s="5" t="s">
        <v>1544</v>
      </c>
      <c r="K187" s="5"/>
      <c r="L187" s="5"/>
      <c r="M187" s="5" t="s">
        <v>52</v>
      </c>
      <c r="N187" s="5"/>
    </row>
    <row r="188" hidden="1" spans="1:14">
      <c r="A188" s="5">
        <v>187</v>
      </c>
      <c r="B188" s="6">
        <v>45955</v>
      </c>
      <c r="C188" s="5" t="s">
        <v>124</v>
      </c>
      <c r="D188" s="5" t="s">
        <v>1617</v>
      </c>
      <c r="E188" s="5" t="s">
        <v>1529</v>
      </c>
      <c r="F188" s="5" t="s">
        <v>1588</v>
      </c>
      <c r="G188" s="5" t="s">
        <v>1957</v>
      </c>
      <c r="H188" s="5" t="s">
        <v>1958</v>
      </c>
      <c r="I188" s="5" t="s">
        <v>1539</v>
      </c>
      <c r="J188" s="5" t="s">
        <v>1533</v>
      </c>
      <c r="K188" s="5"/>
      <c r="L188" s="5"/>
      <c r="M188" s="5" t="s">
        <v>53</v>
      </c>
      <c r="N188" s="5"/>
    </row>
    <row r="189" hidden="1" spans="1:14">
      <c r="A189" s="5">
        <v>188</v>
      </c>
      <c r="B189" s="6">
        <v>45955</v>
      </c>
      <c r="C189" s="5" t="s">
        <v>124</v>
      </c>
      <c r="D189" s="5" t="s">
        <v>1536</v>
      </c>
      <c r="E189" s="5" t="s">
        <v>1529</v>
      </c>
      <c r="F189" s="5" t="s">
        <v>1588</v>
      </c>
      <c r="G189" s="5" t="s">
        <v>1959</v>
      </c>
      <c r="H189" s="5" t="s">
        <v>1960</v>
      </c>
      <c r="I189" s="5" t="s">
        <v>1539</v>
      </c>
      <c r="J189" s="5" t="s">
        <v>1533</v>
      </c>
      <c r="K189" s="5"/>
      <c r="L189" s="5"/>
      <c r="M189" s="5" t="s">
        <v>53</v>
      </c>
      <c r="N189" s="5"/>
    </row>
    <row r="190" hidden="1" spans="1:14">
      <c r="A190" s="5">
        <v>189</v>
      </c>
      <c r="B190" s="6">
        <v>45956</v>
      </c>
      <c r="C190" s="5" t="s">
        <v>46</v>
      </c>
      <c r="D190" s="5" t="s">
        <v>1123</v>
      </c>
      <c r="E190" s="5" t="s">
        <v>1547</v>
      </c>
      <c r="F190" s="5" t="s">
        <v>1548</v>
      </c>
      <c r="G190" s="5" t="s">
        <v>1961</v>
      </c>
      <c r="H190" s="5" t="s">
        <v>1962</v>
      </c>
      <c r="I190" s="5" t="s">
        <v>1963</v>
      </c>
      <c r="J190" s="5" t="s">
        <v>1533</v>
      </c>
      <c r="K190" s="5"/>
      <c r="L190" s="5"/>
      <c r="M190" s="5" t="s">
        <v>53</v>
      </c>
      <c r="N190" s="5"/>
    </row>
    <row r="191" hidden="1" spans="1:14">
      <c r="A191" s="5">
        <v>190</v>
      </c>
      <c r="B191" s="6">
        <v>45958</v>
      </c>
      <c r="C191" s="5" t="s">
        <v>1141</v>
      </c>
      <c r="D191" s="5" t="s">
        <v>1507</v>
      </c>
      <c r="E191" s="5" t="s">
        <v>1541</v>
      </c>
      <c r="F191" s="5" t="s">
        <v>1542</v>
      </c>
      <c r="G191" s="5" t="s">
        <v>1964</v>
      </c>
      <c r="H191" s="5" t="s">
        <v>1965</v>
      </c>
      <c r="I191" s="5" t="s">
        <v>1567</v>
      </c>
      <c r="J191" s="5" t="s">
        <v>1544</v>
      </c>
      <c r="K191" s="5"/>
      <c r="L191" s="5"/>
      <c r="M191" s="5" t="s">
        <v>52</v>
      </c>
      <c r="N191" s="5"/>
    </row>
    <row r="192" hidden="1" spans="1:14">
      <c r="A192" s="5">
        <v>191</v>
      </c>
      <c r="B192" s="6">
        <v>45958</v>
      </c>
      <c r="C192" s="5" t="s">
        <v>115</v>
      </c>
      <c r="D192" s="5" t="s">
        <v>1322</v>
      </c>
      <c r="E192" s="5" t="s">
        <v>1529</v>
      </c>
      <c r="F192" s="5" t="s">
        <v>1588</v>
      </c>
      <c r="G192" s="5" t="s">
        <v>1966</v>
      </c>
      <c r="H192" s="5" t="s">
        <v>1967</v>
      </c>
      <c r="I192" s="5" t="s">
        <v>1881</v>
      </c>
      <c r="J192" s="5" t="s">
        <v>1533</v>
      </c>
      <c r="K192" s="5"/>
      <c r="L192" s="5"/>
      <c r="M192" s="5" t="s">
        <v>53</v>
      </c>
      <c r="N192" s="5"/>
    </row>
    <row r="193" hidden="1" spans="1:14">
      <c r="A193" s="5">
        <v>192</v>
      </c>
      <c r="B193" s="6">
        <v>45960</v>
      </c>
      <c r="C193" s="5" t="s">
        <v>1141</v>
      </c>
      <c r="D193" s="5" t="s">
        <v>1694</v>
      </c>
      <c r="E193" s="5" t="s">
        <v>1529</v>
      </c>
      <c r="F193" s="5" t="s">
        <v>1588</v>
      </c>
      <c r="G193" s="5" t="s">
        <v>1968</v>
      </c>
      <c r="H193" s="5" t="s">
        <v>1969</v>
      </c>
      <c r="I193" s="5" t="s">
        <v>1567</v>
      </c>
      <c r="J193" s="5" t="s">
        <v>1533</v>
      </c>
      <c r="K193" s="5"/>
      <c r="L193" s="5"/>
      <c r="M193" s="5" t="s">
        <v>53</v>
      </c>
      <c r="N193" s="5"/>
    </row>
    <row r="194" hidden="1" spans="1:14">
      <c r="A194" s="5">
        <v>193</v>
      </c>
      <c r="B194" s="6">
        <v>45961</v>
      </c>
      <c r="C194" s="5" t="s">
        <v>124</v>
      </c>
      <c r="D194" s="5" t="s">
        <v>1536</v>
      </c>
      <c r="E194" s="5" t="s">
        <v>1541</v>
      </c>
      <c r="F194" s="5" t="s">
        <v>1561</v>
      </c>
      <c r="G194" s="5" t="s">
        <v>1970</v>
      </c>
      <c r="H194" s="5" t="s">
        <v>1971</v>
      </c>
      <c r="I194" s="5" t="s">
        <v>1972</v>
      </c>
      <c r="J194" s="5" t="s">
        <v>1533</v>
      </c>
      <c r="K194" s="5"/>
      <c r="L194" s="5"/>
      <c r="M194" s="5" t="s">
        <v>53</v>
      </c>
      <c r="N194" s="5"/>
    </row>
    <row r="195" hidden="1" spans="1:14">
      <c r="A195" s="5">
        <v>194</v>
      </c>
      <c r="B195" s="6">
        <v>45961</v>
      </c>
      <c r="C195" s="5" t="s">
        <v>124</v>
      </c>
      <c r="D195" s="5" t="s">
        <v>1536</v>
      </c>
      <c r="E195" s="5" t="s">
        <v>1529</v>
      </c>
      <c r="F195" s="5" t="s">
        <v>1588</v>
      </c>
      <c r="G195" s="5" t="s">
        <v>1973</v>
      </c>
      <c r="H195" s="5" t="s">
        <v>1974</v>
      </c>
      <c r="I195" s="5" t="s">
        <v>1972</v>
      </c>
      <c r="J195" s="5" t="s">
        <v>1533</v>
      </c>
      <c r="K195" s="5"/>
      <c r="L195" s="5"/>
      <c r="M195" s="5" t="s">
        <v>53</v>
      </c>
      <c r="N195" s="5"/>
    </row>
    <row r="196" hidden="1" spans="1:14">
      <c r="A196" s="5">
        <v>195</v>
      </c>
      <c r="B196" s="6">
        <v>45962</v>
      </c>
      <c r="C196" s="5" t="s">
        <v>103</v>
      </c>
      <c r="D196" s="5" t="s">
        <v>1685</v>
      </c>
      <c r="E196" s="5" t="s">
        <v>1541</v>
      </c>
      <c r="F196" s="5" t="s">
        <v>1573</v>
      </c>
      <c r="G196" s="5" t="s">
        <v>1975</v>
      </c>
      <c r="H196" s="5" t="s">
        <v>1976</v>
      </c>
      <c r="I196" s="5" t="s">
        <v>1687</v>
      </c>
      <c r="J196" s="5" t="s">
        <v>1533</v>
      </c>
      <c r="K196" s="5"/>
      <c r="L196" s="5"/>
      <c r="M196" s="5" t="s">
        <v>53</v>
      </c>
      <c r="N196" s="5"/>
    </row>
    <row r="197" hidden="1" spans="1:14">
      <c r="A197" s="5">
        <v>196</v>
      </c>
      <c r="B197" s="6">
        <v>45962</v>
      </c>
      <c r="C197" s="5" t="s">
        <v>74</v>
      </c>
      <c r="D197" s="5" t="s">
        <v>1107</v>
      </c>
      <c r="E197" s="5" t="s">
        <v>1541</v>
      </c>
      <c r="F197" s="5" t="s">
        <v>1555</v>
      </c>
      <c r="G197" s="5"/>
      <c r="H197" s="5" t="s">
        <v>1977</v>
      </c>
      <c r="I197" s="5" t="s">
        <v>1978</v>
      </c>
      <c r="J197" s="5" t="s">
        <v>1533</v>
      </c>
      <c r="K197" s="5"/>
      <c r="L197" s="5"/>
      <c r="M197" s="5" t="s">
        <v>53</v>
      </c>
      <c r="N197" s="5"/>
    </row>
    <row r="198" hidden="1" spans="1:14">
      <c r="A198" s="5">
        <v>197</v>
      </c>
      <c r="B198" s="6">
        <v>45962</v>
      </c>
      <c r="C198" s="5" t="s">
        <v>124</v>
      </c>
      <c r="D198" s="5" t="s">
        <v>1382</v>
      </c>
      <c r="E198" s="5" t="s">
        <v>1541</v>
      </c>
      <c r="F198" s="5" t="s">
        <v>1555</v>
      </c>
      <c r="G198" s="5" t="s">
        <v>1979</v>
      </c>
      <c r="H198" s="5" t="s">
        <v>1980</v>
      </c>
      <c r="I198" s="5" t="s">
        <v>1539</v>
      </c>
      <c r="J198" s="5" t="s">
        <v>1533</v>
      </c>
      <c r="K198" s="5"/>
      <c r="L198" s="5"/>
      <c r="M198" s="5" t="s">
        <v>53</v>
      </c>
      <c r="N198" s="5"/>
    </row>
    <row r="199" hidden="1" spans="1:14">
      <c r="A199" s="5">
        <v>198</v>
      </c>
      <c r="B199" s="6">
        <v>45964</v>
      </c>
      <c r="C199" s="5" t="s">
        <v>74</v>
      </c>
      <c r="D199" s="5" t="s">
        <v>1129</v>
      </c>
      <c r="E199" s="5" t="s">
        <v>1541</v>
      </c>
      <c r="F199" s="5" t="s">
        <v>1555</v>
      </c>
      <c r="G199" s="5" t="s">
        <v>1981</v>
      </c>
      <c r="H199" s="5" t="s">
        <v>1982</v>
      </c>
      <c r="I199" s="5" t="s">
        <v>1978</v>
      </c>
      <c r="J199" s="5" t="s">
        <v>1544</v>
      </c>
      <c r="K199" s="5"/>
      <c r="L199" s="5"/>
      <c r="M199" s="5" t="s">
        <v>52</v>
      </c>
      <c r="N199" s="5"/>
    </row>
    <row r="200" hidden="1" spans="1:14">
      <c r="A200" s="5">
        <v>199</v>
      </c>
      <c r="B200" s="6">
        <v>45965</v>
      </c>
      <c r="C200" s="5" t="s">
        <v>1141</v>
      </c>
      <c r="D200" s="5" t="s">
        <v>1575</v>
      </c>
      <c r="E200" s="5" t="s">
        <v>1541</v>
      </c>
      <c r="F200" s="5" t="s">
        <v>1555</v>
      </c>
      <c r="G200" s="5" t="s">
        <v>1983</v>
      </c>
      <c r="H200" s="5" t="s">
        <v>1984</v>
      </c>
      <c r="I200" s="5" t="s">
        <v>1701</v>
      </c>
      <c r="J200" s="5" t="s">
        <v>1544</v>
      </c>
      <c r="K200" s="5"/>
      <c r="L200" s="5"/>
      <c r="M200" s="5" t="s">
        <v>52</v>
      </c>
      <c r="N200" s="5"/>
    </row>
    <row r="201" hidden="1" spans="1:14">
      <c r="A201" s="5">
        <v>200</v>
      </c>
      <c r="B201" s="6">
        <v>45968</v>
      </c>
      <c r="C201" s="5" t="s">
        <v>124</v>
      </c>
      <c r="D201" s="5" t="s">
        <v>1382</v>
      </c>
      <c r="E201" s="5" t="s">
        <v>1529</v>
      </c>
      <c r="F201" s="5" t="s">
        <v>1588</v>
      </c>
      <c r="G201" s="5" t="s">
        <v>1985</v>
      </c>
      <c r="H201" s="5" t="s">
        <v>1986</v>
      </c>
      <c r="I201" s="5" t="s">
        <v>1659</v>
      </c>
      <c r="J201" s="5" t="s">
        <v>1533</v>
      </c>
      <c r="K201" s="5"/>
      <c r="L201" s="5"/>
      <c r="M201" s="5" t="s">
        <v>53</v>
      </c>
      <c r="N201" s="5"/>
    </row>
    <row r="202" hidden="1" spans="1:14">
      <c r="A202" s="5">
        <v>201</v>
      </c>
      <c r="B202" s="6">
        <v>45969</v>
      </c>
      <c r="C202" s="5" t="s">
        <v>124</v>
      </c>
      <c r="D202" s="5" t="s">
        <v>1536</v>
      </c>
      <c r="E202" s="5" t="s">
        <v>1610</v>
      </c>
      <c r="F202" s="5" t="s">
        <v>1987</v>
      </c>
      <c r="G202" s="5" t="s">
        <v>1238</v>
      </c>
      <c r="H202" s="5" t="s">
        <v>1988</v>
      </c>
      <c r="I202" s="5" t="s">
        <v>1775</v>
      </c>
      <c r="J202" s="5" t="s">
        <v>1533</v>
      </c>
      <c r="K202" s="5"/>
      <c r="L202" s="5"/>
      <c r="M202" s="5" t="s">
        <v>53</v>
      </c>
      <c r="N202" s="5"/>
    </row>
    <row r="203" hidden="1" spans="1:14">
      <c r="A203" s="5">
        <v>202</v>
      </c>
      <c r="B203" s="6">
        <v>45969</v>
      </c>
      <c r="C203" s="5" t="s">
        <v>124</v>
      </c>
      <c r="D203" s="5" t="s">
        <v>1242</v>
      </c>
      <c r="E203" s="5" t="s">
        <v>1541</v>
      </c>
      <c r="F203" s="5" t="s">
        <v>1561</v>
      </c>
      <c r="G203" s="5" t="s">
        <v>1989</v>
      </c>
      <c r="H203" s="5" t="s">
        <v>1990</v>
      </c>
      <c r="I203" s="5" t="s">
        <v>1539</v>
      </c>
      <c r="J203" s="5" t="s">
        <v>1544</v>
      </c>
      <c r="K203" s="5"/>
      <c r="L203" s="5"/>
      <c r="M203" s="5" t="s">
        <v>52</v>
      </c>
      <c r="N203" s="5"/>
    </row>
    <row r="204" hidden="1" spans="1:14">
      <c r="A204" s="5">
        <v>203</v>
      </c>
      <c r="B204" s="6">
        <v>45970</v>
      </c>
      <c r="C204" s="5" t="s">
        <v>90</v>
      </c>
      <c r="D204" s="5" t="s">
        <v>1598</v>
      </c>
      <c r="E204" s="5" t="s">
        <v>1541</v>
      </c>
      <c r="F204" s="5" t="s">
        <v>1542</v>
      </c>
      <c r="G204" s="5" t="s">
        <v>1991</v>
      </c>
      <c r="H204" s="5" t="s">
        <v>1992</v>
      </c>
      <c r="I204" s="5" t="s">
        <v>1993</v>
      </c>
      <c r="J204" s="5" t="s">
        <v>1544</v>
      </c>
      <c r="K204" s="5"/>
      <c r="L204" s="5"/>
      <c r="M204" s="5" t="s">
        <v>52</v>
      </c>
      <c r="N204" s="5"/>
    </row>
    <row r="205" hidden="1" spans="1:14">
      <c r="A205" s="5">
        <v>204</v>
      </c>
      <c r="B205" s="6">
        <v>45967</v>
      </c>
      <c r="C205" s="5" t="s">
        <v>46</v>
      </c>
      <c r="D205" s="5" t="s">
        <v>1123</v>
      </c>
      <c r="E205" s="5" t="s">
        <v>1529</v>
      </c>
      <c r="F205" s="5" t="s">
        <v>1588</v>
      </c>
      <c r="G205" s="5" t="s">
        <v>1994</v>
      </c>
      <c r="H205" s="5" t="s">
        <v>1995</v>
      </c>
      <c r="I205" s="5" t="s">
        <v>1996</v>
      </c>
      <c r="J205" s="5" t="s">
        <v>1533</v>
      </c>
      <c r="K205" s="5"/>
      <c r="L205" s="5"/>
      <c r="M205" s="5" t="s">
        <v>53</v>
      </c>
      <c r="N205" s="5"/>
    </row>
    <row r="206" hidden="1" spans="1:14">
      <c r="A206" s="5">
        <v>205</v>
      </c>
      <c r="B206" s="6">
        <v>45972</v>
      </c>
      <c r="C206" s="5" t="s">
        <v>103</v>
      </c>
      <c r="D206" s="5" t="s">
        <v>1546</v>
      </c>
      <c r="E206" s="5" t="s">
        <v>1541</v>
      </c>
      <c r="F206" s="5" t="s">
        <v>1555</v>
      </c>
      <c r="G206" s="5" t="s">
        <v>1997</v>
      </c>
      <c r="H206" s="5" t="s">
        <v>1998</v>
      </c>
      <c r="I206" s="5" t="s">
        <v>1550</v>
      </c>
      <c r="J206" s="5" t="s">
        <v>1533</v>
      </c>
      <c r="K206" s="5"/>
      <c r="L206" s="5"/>
      <c r="M206" s="5" t="s">
        <v>53</v>
      </c>
      <c r="N206" s="5"/>
    </row>
    <row r="207" hidden="1" spans="1:14">
      <c r="A207" s="5">
        <v>206</v>
      </c>
      <c r="B207" s="6">
        <v>45972</v>
      </c>
      <c r="C207" s="5" t="s">
        <v>103</v>
      </c>
      <c r="D207" s="5" t="s">
        <v>1748</v>
      </c>
      <c r="E207" s="5" t="s">
        <v>1529</v>
      </c>
      <c r="F207" s="5" t="s">
        <v>1588</v>
      </c>
      <c r="G207" s="5" t="s">
        <v>1999</v>
      </c>
      <c r="H207" s="5" t="s">
        <v>2000</v>
      </c>
      <c r="I207" s="5" t="s">
        <v>1550</v>
      </c>
      <c r="J207" s="5" t="s">
        <v>1533</v>
      </c>
      <c r="K207" s="5"/>
      <c r="L207" s="5"/>
      <c r="M207" s="5" t="s">
        <v>53</v>
      </c>
      <c r="N207" s="5"/>
    </row>
    <row r="208" hidden="1" spans="1:14">
      <c r="A208" s="5">
        <v>207</v>
      </c>
      <c r="B208" s="6">
        <v>45973</v>
      </c>
      <c r="C208" s="5" t="s">
        <v>56</v>
      </c>
      <c r="D208" s="5" t="s">
        <v>1570</v>
      </c>
      <c r="E208" s="5" t="s">
        <v>1541</v>
      </c>
      <c r="F208" s="5" t="s">
        <v>1555</v>
      </c>
      <c r="G208" s="5" t="s">
        <v>2001</v>
      </c>
      <c r="H208" s="5" t="s">
        <v>2002</v>
      </c>
      <c r="I208" s="5" t="s">
        <v>1572</v>
      </c>
      <c r="J208" s="5" t="s">
        <v>1533</v>
      </c>
      <c r="K208" s="5"/>
      <c r="L208" s="5"/>
      <c r="M208" s="5" t="s">
        <v>53</v>
      </c>
      <c r="N208" s="5"/>
    </row>
    <row r="209" hidden="1" spans="1:14">
      <c r="A209" s="5">
        <v>208</v>
      </c>
      <c r="B209" s="6">
        <v>45973</v>
      </c>
      <c r="C209" s="5" t="s">
        <v>90</v>
      </c>
      <c r="D209" s="5" t="s">
        <v>1598</v>
      </c>
      <c r="E209" s="5" t="s">
        <v>1541</v>
      </c>
      <c r="F209" s="5" t="s">
        <v>1555</v>
      </c>
      <c r="G209" s="5" t="s">
        <v>2003</v>
      </c>
      <c r="H209" s="5" t="s">
        <v>2004</v>
      </c>
      <c r="I209" s="5" t="s">
        <v>1993</v>
      </c>
      <c r="J209" s="5" t="s">
        <v>1533</v>
      </c>
      <c r="K209" s="5"/>
      <c r="L209" s="5"/>
      <c r="M209" s="5" t="s">
        <v>53</v>
      </c>
      <c r="N209" s="5"/>
    </row>
    <row r="210" hidden="1" spans="1:14">
      <c r="A210" s="5">
        <v>209</v>
      </c>
      <c r="B210" s="6">
        <v>45973</v>
      </c>
      <c r="C210" s="5" t="s">
        <v>46</v>
      </c>
      <c r="D210" s="5" t="s">
        <v>1123</v>
      </c>
      <c r="E210" s="5" t="s">
        <v>1610</v>
      </c>
      <c r="F210" s="5" t="s">
        <v>1987</v>
      </c>
      <c r="G210" s="5" t="s">
        <v>2005</v>
      </c>
      <c r="H210" s="5" t="s">
        <v>2006</v>
      </c>
      <c r="I210" s="5" t="s">
        <v>1608</v>
      </c>
      <c r="J210" s="5" t="s">
        <v>1533</v>
      </c>
      <c r="K210" s="5"/>
      <c r="L210" s="5"/>
      <c r="M210" s="5" t="s">
        <v>53</v>
      </c>
      <c r="N210" s="5"/>
    </row>
    <row r="211" hidden="1" spans="1:14">
      <c r="A211" s="5">
        <v>210</v>
      </c>
      <c r="B211" s="6">
        <v>45973</v>
      </c>
      <c r="C211" s="5" t="s">
        <v>115</v>
      </c>
      <c r="D211" s="5" t="s">
        <v>979</v>
      </c>
      <c r="E211" s="5" t="s">
        <v>1541</v>
      </c>
      <c r="F211" s="5" t="s">
        <v>1555</v>
      </c>
      <c r="G211" s="5" t="s">
        <v>2007</v>
      </c>
      <c r="H211" s="5" t="s">
        <v>2008</v>
      </c>
      <c r="I211" s="5" t="s">
        <v>1583</v>
      </c>
      <c r="J211" s="5" t="s">
        <v>1544</v>
      </c>
      <c r="K211" s="5"/>
      <c r="L211" s="5"/>
      <c r="M211" s="5" t="s">
        <v>52</v>
      </c>
      <c r="N211" s="5"/>
    </row>
    <row r="212" hidden="1" spans="1:14">
      <c r="A212" s="5">
        <v>211</v>
      </c>
      <c r="B212" s="6">
        <v>45974</v>
      </c>
      <c r="C212" s="5" t="s">
        <v>103</v>
      </c>
      <c r="D212" s="5" t="s">
        <v>1632</v>
      </c>
      <c r="E212" s="5" t="s">
        <v>1529</v>
      </c>
      <c r="F212" s="5" t="s">
        <v>1588</v>
      </c>
      <c r="G212" s="5" t="s">
        <v>2009</v>
      </c>
      <c r="H212" s="5" t="s">
        <v>2010</v>
      </c>
      <c r="I212" s="5" t="s">
        <v>1550</v>
      </c>
      <c r="J212" s="5" t="s">
        <v>1533</v>
      </c>
      <c r="K212" s="5"/>
      <c r="L212" s="5"/>
      <c r="M212" s="5" t="s">
        <v>53</v>
      </c>
      <c r="N212" s="5"/>
    </row>
    <row r="213" hidden="1" spans="1:14">
      <c r="A213" s="5">
        <v>212</v>
      </c>
      <c r="B213" s="6">
        <v>45975</v>
      </c>
      <c r="C213" s="5" t="s">
        <v>103</v>
      </c>
      <c r="D213" s="5" t="s">
        <v>1632</v>
      </c>
      <c r="E213" s="5" t="s">
        <v>1610</v>
      </c>
      <c r="F213" s="5" t="s">
        <v>554</v>
      </c>
      <c r="G213" s="5"/>
      <c r="H213" s="5" t="s">
        <v>2011</v>
      </c>
      <c r="I213" s="5" t="s">
        <v>1550</v>
      </c>
      <c r="J213" s="5" t="s">
        <v>1533</v>
      </c>
      <c r="K213" s="5"/>
      <c r="L213" s="5"/>
      <c r="M213" s="5" t="s">
        <v>53</v>
      </c>
      <c r="N213" s="5"/>
    </row>
    <row r="214" hidden="1" spans="1:14">
      <c r="A214" s="5">
        <v>213</v>
      </c>
      <c r="B214" s="6">
        <v>45977</v>
      </c>
      <c r="C214" s="5" t="s">
        <v>46</v>
      </c>
      <c r="D214" s="5" t="s">
        <v>1744</v>
      </c>
      <c r="E214" s="5" t="s">
        <v>1541</v>
      </c>
      <c r="F214" s="5" t="s">
        <v>1561</v>
      </c>
      <c r="G214" s="5" t="s">
        <v>2012</v>
      </c>
      <c r="H214" s="5" t="s">
        <v>2013</v>
      </c>
      <c r="I214" s="5" t="s">
        <v>1963</v>
      </c>
      <c r="J214" s="5" t="s">
        <v>1544</v>
      </c>
      <c r="K214" s="5"/>
      <c r="L214" s="5"/>
      <c r="M214" s="5" t="s">
        <v>52</v>
      </c>
      <c r="N214" s="5"/>
    </row>
    <row r="215" hidden="1" spans="1:14">
      <c r="A215" s="5">
        <v>214</v>
      </c>
      <c r="B215" s="6">
        <v>45977</v>
      </c>
      <c r="C215" s="5" t="s">
        <v>124</v>
      </c>
      <c r="D215" s="5" t="s">
        <v>1617</v>
      </c>
      <c r="E215" s="5" t="s">
        <v>1529</v>
      </c>
      <c r="F215" s="5" t="s">
        <v>1588</v>
      </c>
      <c r="G215" s="5" t="s">
        <v>2014</v>
      </c>
      <c r="H215" s="5" t="s">
        <v>2015</v>
      </c>
      <c r="I215" s="5" t="s">
        <v>1539</v>
      </c>
      <c r="J215" s="5" t="s">
        <v>1533</v>
      </c>
      <c r="K215" s="5"/>
      <c r="L215" s="5"/>
      <c r="M215" s="5" t="s">
        <v>53</v>
      </c>
      <c r="N215" s="5"/>
    </row>
    <row r="216" hidden="1" spans="1:14">
      <c r="A216" s="5">
        <v>215</v>
      </c>
      <c r="B216" s="6">
        <v>45978</v>
      </c>
      <c r="C216" s="5" t="s">
        <v>1141</v>
      </c>
      <c r="D216" s="5" t="s">
        <v>1507</v>
      </c>
      <c r="E216" s="5" t="s">
        <v>1529</v>
      </c>
      <c r="F216" s="5" t="s">
        <v>1593</v>
      </c>
      <c r="G216" s="5"/>
      <c r="H216" s="5" t="s">
        <v>2016</v>
      </c>
      <c r="I216" s="5" t="s">
        <v>1567</v>
      </c>
      <c r="J216" s="5" t="s">
        <v>1558</v>
      </c>
      <c r="K216" s="5"/>
      <c r="L216" s="5"/>
      <c r="M216" s="5" t="s">
        <v>52</v>
      </c>
      <c r="N216" s="5"/>
    </row>
    <row r="217" hidden="1" spans="1:14">
      <c r="A217" s="5">
        <v>216</v>
      </c>
      <c r="B217" s="6">
        <v>45978</v>
      </c>
      <c r="C217" s="5" t="s">
        <v>90</v>
      </c>
      <c r="D217" s="5" t="s">
        <v>2017</v>
      </c>
      <c r="E217" s="5" t="s">
        <v>1541</v>
      </c>
      <c r="F217" s="5" t="s">
        <v>1542</v>
      </c>
      <c r="G217" s="5" t="s">
        <v>2018</v>
      </c>
      <c r="H217" s="5" t="s">
        <v>2019</v>
      </c>
      <c r="I217" s="5" t="s">
        <v>1601</v>
      </c>
      <c r="J217" s="5" t="s">
        <v>1544</v>
      </c>
      <c r="K217" s="5"/>
      <c r="L217" s="5"/>
      <c r="M217" s="5" t="s">
        <v>52</v>
      </c>
      <c r="N217" s="5"/>
    </row>
    <row r="218" hidden="1" spans="1:14">
      <c r="A218" s="5">
        <v>217</v>
      </c>
      <c r="B218" s="6">
        <v>45978</v>
      </c>
      <c r="C218" s="5" t="s">
        <v>103</v>
      </c>
      <c r="D218" s="5" t="s">
        <v>1587</v>
      </c>
      <c r="E218" s="5" t="s">
        <v>1529</v>
      </c>
      <c r="F218" s="5" t="s">
        <v>1588</v>
      </c>
      <c r="G218" s="5"/>
      <c r="H218" s="5" t="s">
        <v>2020</v>
      </c>
      <c r="I218" s="5" t="s">
        <v>1550</v>
      </c>
      <c r="J218" s="5" t="s">
        <v>1533</v>
      </c>
      <c r="K218" s="5"/>
      <c r="L218" s="5"/>
      <c r="M218" s="5" t="s">
        <v>53</v>
      </c>
      <c r="N218" s="5"/>
    </row>
    <row r="219" hidden="1" spans="1:14">
      <c r="A219" s="5">
        <v>218</v>
      </c>
      <c r="B219" s="6">
        <v>45979</v>
      </c>
      <c r="C219" s="5" t="s">
        <v>80</v>
      </c>
      <c r="D219" s="5" t="s">
        <v>1551</v>
      </c>
      <c r="E219" s="5" t="s">
        <v>1541</v>
      </c>
      <c r="F219" s="5" t="s">
        <v>1542</v>
      </c>
      <c r="G219" s="5" t="s">
        <v>2021</v>
      </c>
      <c r="H219" s="5" t="s">
        <v>2022</v>
      </c>
      <c r="I219" s="5" t="s">
        <v>1672</v>
      </c>
      <c r="J219" s="5" t="s">
        <v>1533</v>
      </c>
      <c r="K219" s="5"/>
      <c r="L219" s="5"/>
      <c r="M219" s="5" t="s">
        <v>53</v>
      </c>
      <c r="N219" s="5"/>
    </row>
    <row r="220" hidden="1" spans="1:14">
      <c r="A220" s="5">
        <v>219</v>
      </c>
      <c r="B220" s="6">
        <v>45979</v>
      </c>
      <c r="C220" s="5" t="s">
        <v>80</v>
      </c>
      <c r="D220" s="5" t="s">
        <v>1551</v>
      </c>
      <c r="E220" s="5" t="s">
        <v>1529</v>
      </c>
      <c r="F220" s="5" t="s">
        <v>1588</v>
      </c>
      <c r="G220" s="5" t="s">
        <v>2023</v>
      </c>
      <c r="H220" s="5" t="s">
        <v>2024</v>
      </c>
      <c r="I220" s="5" t="s">
        <v>1672</v>
      </c>
      <c r="J220" s="5" t="s">
        <v>1533</v>
      </c>
      <c r="K220" s="5"/>
      <c r="L220" s="5"/>
      <c r="M220" s="5" t="s">
        <v>53</v>
      </c>
      <c r="N220" s="5"/>
    </row>
    <row r="221" hidden="1" spans="1:14">
      <c r="A221" s="5">
        <v>220</v>
      </c>
      <c r="B221" s="6">
        <v>45981</v>
      </c>
      <c r="C221" s="5" t="s">
        <v>46</v>
      </c>
      <c r="D221" s="5" t="s">
        <v>1744</v>
      </c>
      <c r="E221" s="5" t="s">
        <v>1541</v>
      </c>
      <c r="F221" s="5" t="s">
        <v>1728</v>
      </c>
      <c r="G221" s="5" t="s">
        <v>2025</v>
      </c>
      <c r="H221" s="5" t="s">
        <v>2026</v>
      </c>
      <c r="I221" s="5" t="s">
        <v>2027</v>
      </c>
      <c r="J221" s="5" t="s">
        <v>1533</v>
      </c>
      <c r="K221" s="5"/>
      <c r="L221" s="5"/>
      <c r="M221" s="5" t="s">
        <v>53</v>
      </c>
      <c r="N221" s="5"/>
    </row>
    <row r="222" hidden="1" spans="1:14">
      <c r="A222" s="5">
        <v>221</v>
      </c>
      <c r="B222" s="6">
        <v>45980</v>
      </c>
      <c r="C222" s="5" t="s">
        <v>1151</v>
      </c>
      <c r="D222" s="5" t="s">
        <v>1510</v>
      </c>
      <c r="E222" s="5" t="s">
        <v>1529</v>
      </c>
      <c r="F222" s="5" t="s">
        <v>1588</v>
      </c>
      <c r="G222" s="5" t="s">
        <v>2028</v>
      </c>
      <c r="H222" s="5" t="s">
        <v>2029</v>
      </c>
      <c r="I222" s="5" t="s">
        <v>2030</v>
      </c>
      <c r="J222" s="5" t="s">
        <v>1533</v>
      </c>
      <c r="K222" s="5"/>
      <c r="L222" s="5"/>
      <c r="M222" s="5" t="s">
        <v>53</v>
      </c>
      <c r="N222" s="5" t="s">
        <v>2031</v>
      </c>
    </row>
    <row r="223" hidden="1" spans="1:14">
      <c r="A223" s="5">
        <v>222</v>
      </c>
      <c r="B223" s="6">
        <v>45983</v>
      </c>
      <c r="C223" s="5" t="s">
        <v>103</v>
      </c>
      <c r="D223" s="5" t="s">
        <v>1685</v>
      </c>
      <c r="E223" s="5" t="s">
        <v>1541</v>
      </c>
      <c r="F223" s="5" t="s">
        <v>1555</v>
      </c>
      <c r="G223" s="5" t="s">
        <v>2032</v>
      </c>
      <c r="H223" s="5" t="s">
        <v>2033</v>
      </c>
      <c r="I223" s="5" t="s">
        <v>1550</v>
      </c>
      <c r="J223" s="5" t="s">
        <v>1544</v>
      </c>
      <c r="K223" s="5"/>
      <c r="L223" s="5"/>
      <c r="M223" s="5" t="s">
        <v>52</v>
      </c>
      <c r="N223" s="5"/>
    </row>
    <row r="224" hidden="1" spans="1:14">
      <c r="A224" s="5">
        <v>223</v>
      </c>
      <c r="B224" s="6">
        <v>45985</v>
      </c>
      <c r="C224" s="5" t="s">
        <v>103</v>
      </c>
      <c r="D224" s="5" t="s">
        <v>1298</v>
      </c>
      <c r="E224" s="5" t="s">
        <v>1541</v>
      </c>
      <c r="F224" s="5" t="s">
        <v>1728</v>
      </c>
      <c r="G224" s="5" t="s">
        <v>2034</v>
      </c>
      <c r="H224" s="5" t="s">
        <v>2035</v>
      </c>
      <c r="I224" s="5" t="s">
        <v>1550</v>
      </c>
      <c r="J224" s="5" t="s">
        <v>1533</v>
      </c>
      <c r="K224" s="5"/>
      <c r="L224" s="5"/>
      <c r="M224" s="5" t="s">
        <v>53</v>
      </c>
      <c r="N224" s="5"/>
    </row>
    <row r="225" hidden="1" spans="1:14">
      <c r="A225" s="5">
        <v>224</v>
      </c>
      <c r="B225" s="6">
        <v>45988</v>
      </c>
      <c r="C225" s="5" t="s">
        <v>103</v>
      </c>
      <c r="D225" s="5" t="s">
        <v>1632</v>
      </c>
      <c r="E225" s="5" t="s">
        <v>1529</v>
      </c>
      <c r="F225" s="5" t="s">
        <v>1588</v>
      </c>
      <c r="G225" s="5" t="s">
        <v>2036</v>
      </c>
      <c r="H225" s="5" t="s">
        <v>2037</v>
      </c>
      <c r="I225" s="5" t="s">
        <v>1550</v>
      </c>
      <c r="J225" s="5" t="s">
        <v>1533</v>
      </c>
      <c r="K225" s="5"/>
      <c r="L225" s="5"/>
      <c r="M225" s="5" t="s">
        <v>53</v>
      </c>
      <c r="N225" s="5"/>
    </row>
    <row r="226" hidden="1" spans="1:14">
      <c r="A226" s="5">
        <v>225</v>
      </c>
      <c r="B226" s="6">
        <v>45988</v>
      </c>
      <c r="C226" s="5" t="s">
        <v>103</v>
      </c>
      <c r="D226" s="5" t="s">
        <v>1685</v>
      </c>
      <c r="E226" s="5" t="s">
        <v>1529</v>
      </c>
      <c r="F226" s="5" t="s">
        <v>1588</v>
      </c>
      <c r="G226" s="5" t="s">
        <v>2038</v>
      </c>
      <c r="H226" s="5" t="s">
        <v>2039</v>
      </c>
      <c r="I226" s="5" t="s">
        <v>1550</v>
      </c>
      <c r="J226" s="5" t="s">
        <v>1533</v>
      </c>
      <c r="K226" s="5"/>
      <c r="L226" s="5"/>
      <c r="M226" s="5" t="s">
        <v>53</v>
      </c>
      <c r="N226" s="5"/>
    </row>
    <row r="227" hidden="1" spans="1:14">
      <c r="A227" s="5">
        <v>226</v>
      </c>
      <c r="B227" s="6">
        <v>45985</v>
      </c>
      <c r="C227" s="5" t="s">
        <v>46</v>
      </c>
      <c r="D227" s="5" t="s">
        <v>1606</v>
      </c>
      <c r="E227" s="5" t="s">
        <v>1541</v>
      </c>
      <c r="F227" s="5" t="s">
        <v>1555</v>
      </c>
      <c r="G227" s="5" t="s">
        <v>2040</v>
      </c>
      <c r="H227" s="5" t="s">
        <v>2041</v>
      </c>
      <c r="I227" s="5" t="s">
        <v>2042</v>
      </c>
      <c r="J227" s="5" t="s">
        <v>1533</v>
      </c>
      <c r="K227" s="5"/>
      <c r="L227" s="5"/>
      <c r="M227" s="5" t="s">
        <v>53</v>
      </c>
      <c r="N227" s="5"/>
    </row>
    <row r="228" hidden="1" spans="1:14">
      <c r="A228" s="5">
        <v>227</v>
      </c>
      <c r="B228" s="6">
        <v>45985</v>
      </c>
      <c r="C228" s="5" t="s">
        <v>46</v>
      </c>
      <c r="D228" s="5" t="s">
        <v>1606</v>
      </c>
      <c r="E228" s="5" t="s">
        <v>1541</v>
      </c>
      <c r="F228" s="5" t="s">
        <v>1542</v>
      </c>
      <c r="G228" s="5" t="s">
        <v>2043</v>
      </c>
      <c r="H228" s="5" t="s">
        <v>2044</v>
      </c>
      <c r="I228" s="5" t="s">
        <v>2042</v>
      </c>
      <c r="J228" s="5" t="s">
        <v>1544</v>
      </c>
      <c r="K228" s="5"/>
      <c r="L228" s="5"/>
      <c r="M228" s="5" t="s">
        <v>52</v>
      </c>
      <c r="N228" s="5"/>
    </row>
    <row r="229" hidden="1" spans="1:14">
      <c r="A229" s="5">
        <v>228</v>
      </c>
      <c r="B229" s="6">
        <v>45978</v>
      </c>
      <c r="C229" s="5" t="s">
        <v>63</v>
      </c>
      <c r="D229" s="5" t="s">
        <v>263</v>
      </c>
      <c r="E229" s="5" t="s">
        <v>1541</v>
      </c>
      <c r="F229" s="5" t="s">
        <v>1542</v>
      </c>
      <c r="G229" s="5" t="s">
        <v>2045</v>
      </c>
      <c r="H229" s="5" t="s">
        <v>2046</v>
      </c>
      <c r="I229" s="5" t="s">
        <v>1724</v>
      </c>
      <c r="J229" s="5" t="s">
        <v>1533</v>
      </c>
      <c r="K229" s="5"/>
      <c r="L229" s="5"/>
      <c r="M229" s="5" t="s">
        <v>53</v>
      </c>
      <c r="N229" s="5"/>
    </row>
    <row r="230" hidden="1" spans="1:14">
      <c r="A230" s="5">
        <v>229</v>
      </c>
      <c r="B230" s="6">
        <v>45990</v>
      </c>
      <c r="C230" s="5" t="s">
        <v>274</v>
      </c>
      <c r="D230" s="5" t="s">
        <v>1028</v>
      </c>
      <c r="E230" s="5" t="s">
        <v>1541</v>
      </c>
      <c r="F230" s="5" t="s">
        <v>1728</v>
      </c>
      <c r="G230" s="5" t="s">
        <v>2047</v>
      </c>
      <c r="H230" s="5" t="s">
        <v>2048</v>
      </c>
      <c r="I230" s="5" t="s">
        <v>1626</v>
      </c>
      <c r="J230" s="5" t="s">
        <v>1533</v>
      </c>
      <c r="K230" s="5"/>
      <c r="L230" s="5"/>
      <c r="M230" s="5" t="s">
        <v>53</v>
      </c>
      <c r="N230" s="5"/>
    </row>
    <row r="231" spans="1:14">
      <c r="A231" s="5">
        <v>230</v>
      </c>
      <c r="B231" s="6">
        <v>45992</v>
      </c>
      <c r="C231" s="5" t="s">
        <v>155</v>
      </c>
      <c r="D231" s="5" t="s">
        <v>1250</v>
      </c>
      <c r="E231" s="5" t="s">
        <v>1541</v>
      </c>
      <c r="F231" s="5" t="s">
        <v>1542</v>
      </c>
      <c r="G231" s="5" t="s">
        <v>2049</v>
      </c>
      <c r="H231" s="5" t="s">
        <v>2050</v>
      </c>
      <c r="I231" s="5" t="s">
        <v>2051</v>
      </c>
      <c r="J231" s="5" t="s">
        <v>1544</v>
      </c>
      <c r="K231" s="5"/>
      <c r="L231" s="5"/>
      <c r="M231" s="5" t="s">
        <v>52</v>
      </c>
      <c r="N231" s="5"/>
    </row>
    <row r="232" spans="1:14">
      <c r="A232" s="5">
        <v>231</v>
      </c>
      <c r="B232" s="6">
        <v>45992</v>
      </c>
      <c r="C232" s="5" t="s">
        <v>155</v>
      </c>
      <c r="D232" s="5" t="s">
        <v>1250</v>
      </c>
      <c r="E232" s="5" t="s">
        <v>1541</v>
      </c>
      <c r="F232" s="5" t="s">
        <v>1660</v>
      </c>
      <c r="G232" s="5" t="s">
        <v>2052</v>
      </c>
      <c r="H232" s="5" t="s">
        <v>2053</v>
      </c>
      <c r="I232" s="5" t="s">
        <v>2051</v>
      </c>
      <c r="J232" s="5" t="s">
        <v>1533</v>
      </c>
      <c r="K232" s="5"/>
      <c r="L232" s="5"/>
      <c r="M232" s="5" t="s">
        <v>53</v>
      </c>
      <c r="N232" s="5"/>
    </row>
    <row r="233" hidden="1" spans="1:14">
      <c r="A233" s="5">
        <v>232</v>
      </c>
      <c r="B233" s="6">
        <v>45979</v>
      </c>
      <c r="C233" s="5" t="s">
        <v>80</v>
      </c>
      <c r="D233" s="5" t="s">
        <v>1551</v>
      </c>
      <c r="E233" s="5" t="s">
        <v>1529</v>
      </c>
      <c r="F233" s="5" t="s">
        <v>1588</v>
      </c>
      <c r="G233" s="5" t="s">
        <v>2054</v>
      </c>
      <c r="H233" s="5" t="s">
        <v>2055</v>
      </c>
      <c r="I233" s="5" t="s">
        <v>1672</v>
      </c>
      <c r="J233" s="5" t="s">
        <v>1533</v>
      </c>
      <c r="K233" s="5"/>
      <c r="L233" s="5"/>
      <c r="M233" s="5" t="s">
        <v>53</v>
      </c>
      <c r="N233" s="5" t="s">
        <v>2056</v>
      </c>
    </row>
    <row r="234" spans="1:14">
      <c r="A234" s="5">
        <v>233</v>
      </c>
      <c r="B234" s="6">
        <v>45993</v>
      </c>
      <c r="C234" s="5" t="s">
        <v>1151</v>
      </c>
      <c r="D234" s="5" t="s">
        <v>1554</v>
      </c>
      <c r="E234" s="5" t="s">
        <v>1541</v>
      </c>
      <c r="F234" s="5" t="s">
        <v>1542</v>
      </c>
      <c r="G234" s="5" t="s">
        <v>2057</v>
      </c>
      <c r="H234" s="5" t="s">
        <v>2058</v>
      </c>
      <c r="I234" s="5" t="s">
        <v>2059</v>
      </c>
      <c r="J234" s="5" t="s">
        <v>1544</v>
      </c>
      <c r="K234" s="5"/>
      <c r="L234" s="5"/>
      <c r="M234" s="5" t="s">
        <v>52</v>
      </c>
      <c r="N234" s="5"/>
    </row>
    <row r="235" spans="1:14">
      <c r="A235" s="5">
        <v>234</v>
      </c>
      <c r="B235" s="6">
        <v>45994</v>
      </c>
      <c r="C235" s="5" t="s">
        <v>237</v>
      </c>
      <c r="D235" s="5" t="s">
        <v>2060</v>
      </c>
      <c r="E235" s="5" t="s">
        <v>1529</v>
      </c>
      <c r="F235" s="5" t="s">
        <v>1588</v>
      </c>
      <c r="G235" s="5" t="s">
        <v>2061</v>
      </c>
      <c r="H235" s="5" t="s">
        <v>2062</v>
      </c>
      <c r="I235" s="5" t="s">
        <v>2063</v>
      </c>
      <c r="J235" s="5" t="s">
        <v>1533</v>
      </c>
      <c r="K235" s="5"/>
      <c r="L235" s="5"/>
      <c r="M235" s="5" t="s">
        <v>53</v>
      </c>
      <c r="N235" s="5"/>
    </row>
    <row r="236" spans="1:14">
      <c r="A236" s="5">
        <v>235</v>
      </c>
      <c r="B236" s="6">
        <v>45995</v>
      </c>
      <c r="C236" s="5" t="s">
        <v>46</v>
      </c>
      <c r="D236" s="5" t="s">
        <v>1123</v>
      </c>
      <c r="E236" s="5" t="s">
        <v>1541</v>
      </c>
      <c r="F236" s="5" t="s">
        <v>1555</v>
      </c>
      <c r="G236" s="5" t="s">
        <v>2064</v>
      </c>
      <c r="H236" s="5" t="s">
        <v>2065</v>
      </c>
      <c r="I236" s="5" t="s">
        <v>1996</v>
      </c>
      <c r="J236" s="5" t="s">
        <v>1533</v>
      </c>
      <c r="K236" s="5"/>
      <c r="L236" s="5"/>
      <c r="M236" s="5" t="s">
        <v>53</v>
      </c>
      <c r="N236" s="5"/>
    </row>
    <row r="237" spans="1:14">
      <c r="A237" s="5">
        <v>236</v>
      </c>
      <c r="B237" s="6">
        <v>45996</v>
      </c>
      <c r="C237" s="5" t="s">
        <v>103</v>
      </c>
      <c r="D237" s="5" t="s">
        <v>1632</v>
      </c>
      <c r="E237" s="5" t="s">
        <v>1529</v>
      </c>
      <c r="F237" s="5" t="s">
        <v>1588</v>
      </c>
      <c r="G237" s="5" t="s">
        <v>2066</v>
      </c>
      <c r="H237" s="5" t="s">
        <v>2067</v>
      </c>
      <c r="I237" s="5" t="s">
        <v>1550</v>
      </c>
      <c r="J237" s="5" t="s">
        <v>1533</v>
      </c>
      <c r="K237" s="5"/>
      <c r="L237" s="5"/>
      <c r="M237" s="5" t="s">
        <v>53</v>
      </c>
      <c r="N237" s="5"/>
    </row>
    <row r="238" spans="1:14">
      <c r="A238" s="5">
        <v>237</v>
      </c>
      <c r="B238" s="6">
        <v>45996</v>
      </c>
      <c r="C238" s="5" t="s">
        <v>124</v>
      </c>
      <c r="D238" s="5" t="s">
        <v>2068</v>
      </c>
      <c r="E238" s="5" t="s">
        <v>1541</v>
      </c>
      <c r="F238" s="5" t="s">
        <v>1573</v>
      </c>
      <c r="G238" s="5" t="s">
        <v>2069</v>
      </c>
      <c r="H238" s="5" t="s">
        <v>2070</v>
      </c>
      <c r="I238" s="5" t="s">
        <v>1539</v>
      </c>
      <c r="J238" s="5" t="s">
        <v>1533</v>
      </c>
      <c r="K238" s="5"/>
      <c r="L238" s="5"/>
      <c r="M238" s="5" t="s">
        <v>53</v>
      </c>
      <c r="N238" s="5"/>
    </row>
    <row r="239" spans="1:14">
      <c r="A239" s="5">
        <v>238</v>
      </c>
      <c r="B239" s="6">
        <v>45996</v>
      </c>
      <c r="C239" s="5" t="s">
        <v>416</v>
      </c>
      <c r="D239" s="5" t="s">
        <v>1857</v>
      </c>
      <c r="E239" s="5" t="s">
        <v>1541</v>
      </c>
      <c r="F239" s="5" t="s">
        <v>1555</v>
      </c>
      <c r="G239" s="5" t="s">
        <v>2071</v>
      </c>
      <c r="H239" s="5" t="s">
        <v>2072</v>
      </c>
      <c r="I239" s="5" t="s">
        <v>2073</v>
      </c>
      <c r="J239" s="5" t="s">
        <v>1544</v>
      </c>
      <c r="K239" s="5"/>
      <c r="L239" s="5"/>
      <c r="M239" s="5" t="s">
        <v>52</v>
      </c>
      <c r="N239" s="5"/>
    </row>
    <row r="240" spans="1:14">
      <c r="A240" s="5">
        <v>239</v>
      </c>
      <c r="B240" s="6">
        <v>45998</v>
      </c>
      <c r="C240" s="5" t="s">
        <v>95</v>
      </c>
      <c r="D240" s="5" t="s">
        <v>1725</v>
      </c>
      <c r="E240" s="5" t="s">
        <v>1547</v>
      </c>
      <c r="F240" s="5" t="s">
        <v>1548</v>
      </c>
      <c r="G240" s="5" t="s">
        <v>2074</v>
      </c>
      <c r="H240" s="5" t="s">
        <v>2075</v>
      </c>
      <c r="I240" s="5" t="s">
        <v>1727</v>
      </c>
      <c r="J240" s="5" t="s">
        <v>1533</v>
      </c>
      <c r="K240" s="5"/>
      <c r="L240" s="5"/>
      <c r="M240" s="5" t="s">
        <v>53</v>
      </c>
      <c r="N240" s="5"/>
    </row>
    <row r="241" spans="1:14">
      <c r="A241" s="5">
        <v>240</v>
      </c>
      <c r="B241" s="6">
        <v>45999</v>
      </c>
      <c r="C241" s="5" t="s">
        <v>90</v>
      </c>
      <c r="D241" s="5" t="s">
        <v>1598</v>
      </c>
      <c r="E241" s="5" t="s">
        <v>1529</v>
      </c>
      <c r="F241" s="5" t="s">
        <v>1588</v>
      </c>
      <c r="G241" s="5" t="s">
        <v>2076</v>
      </c>
      <c r="H241" s="5" t="s">
        <v>2077</v>
      </c>
      <c r="I241" s="5" t="s">
        <v>2078</v>
      </c>
      <c r="J241" s="5" t="s">
        <v>1533</v>
      </c>
      <c r="K241" s="5"/>
      <c r="L241" s="5"/>
      <c r="M241" s="5" t="s">
        <v>53</v>
      </c>
      <c r="N241" s="5"/>
    </row>
    <row r="242" spans="1:14">
      <c r="A242" s="5">
        <v>241</v>
      </c>
      <c r="B242" s="6">
        <v>45999</v>
      </c>
      <c r="C242" s="5" t="s">
        <v>80</v>
      </c>
      <c r="D242" s="5" t="s">
        <v>1551</v>
      </c>
      <c r="E242" s="5" t="s">
        <v>1541</v>
      </c>
      <c r="F242" s="5" t="s">
        <v>1561</v>
      </c>
      <c r="G242" s="5" t="s">
        <v>2079</v>
      </c>
      <c r="H242" s="5" t="s">
        <v>2080</v>
      </c>
      <c r="I242" s="5" t="s">
        <v>1672</v>
      </c>
      <c r="J242" s="5" t="s">
        <v>1533</v>
      </c>
      <c r="K242" s="5"/>
      <c r="L242" s="5"/>
      <c r="M242" s="5" t="s">
        <v>53</v>
      </c>
      <c r="N242" s="5"/>
    </row>
    <row r="243" spans="1:14">
      <c r="A243" s="5">
        <v>242</v>
      </c>
      <c r="B243" s="6">
        <v>45997</v>
      </c>
      <c r="C243" s="5" t="s">
        <v>1151</v>
      </c>
      <c r="D243" s="5" t="s">
        <v>1554</v>
      </c>
      <c r="E243" s="5" t="s">
        <v>1547</v>
      </c>
      <c r="F243" s="5" t="s">
        <v>1548</v>
      </c>
      <c r="G243" s="5" t="s">
        <v>2081</v>
      </c>
      <c r="H243" s="5" t="s">
        <v>2082</v>
      </c>
      <c r="I243" s="5" t="s">
        <v>2059</v>
      </c>
      <c r="J243" s="5" t="s">
        <v>1533</v>
      </c>
      <c r="K243" s="5"/>
      <c r="L243" s="5"/>
      <c r="M243" s="5" t="s">
        <v>53</v>
      </c>
      <c r="N243" s="5"/>
    </row>
    <row r="244" spans="1:14">
      <c r="A244" s="5">
        <v>243</v>
      </c>
      <c r="B244" s="6">
        <v>46000</v>
      </c>
      <c r="C244" s="5" t="s">
        <v>69</v>
      </c>
      <c r="D244" s="5" t="s">
        <v>2083</v>
      </c>
      <c r="E244" s="5" t="s">
        <v>1529</v>
      </c>
      <c r="F244" s="5" t="s">
        <v>1588</v>
      </c>
      <c r="G244" s="5" t="s">
        <v>2084</v>
      </c>
      <c r="H244" s="5" t="s">
        <v>2085</v>
      </c>
      <c r="I244" s="5" t="s">
        <v>2086</v>
      </c>
      <c r="J244" s="5" t="s">
        <v>1533</v>
      </c>
      <c r="K244" s="5"/>
      <c r="L244" s="5"/>
      <c r="M244" s="5" t="s">
        <v>53</v>
      </c>
      <c r="N244" s="5"/>
    </row>
    <row r="245" spans="1:14">
      <c r="A245" s="5">
        <v>244</v>
      </c>
      <c r="B245" s="6">
        <v>46000</v>
      </c>
      <c r="C245" s="5" t="s">
        <v>237</v>
      </c>
      <c r="D245" s="5" t="s">
        <v>1254</v>
      </c>
      <c r="E245" s="5" t="s">
        <v>1541</v>
      </c>
      <c r="F245" s="5" t="s">
        <v>1728</v>
      </c>
      <c r="G245" s="5" t="s">
        <v>2087</v>
      </c>
      <c r="H245" s="5" t="s">
        <v>2088</v>
      </c>
      <c r="I245" s="5" t="s">
        <v>2063</v>
      </c>
      <c r="J245" s="5" t="s">
        <v>1533</v>
      </c>
      <c r="K245" s="5"/>
      <c r="L245" s="5"/>
      <c r="M245" s="5" t="s">
        <v>53</v>
      </c>
      <c r="N245" s="5"/>
    </row>
    <row r="246" spans="1:14">
      <c r="A246" s="5">
        <v>245</v>
      </c>
      <c r="B246" s="6">
        <v>46001</v>
      </c>
      <c r="C246" s="5" t="s">
        <v>69</v>
      </c>
      <c r="D246" s="5" t="s">
        <v>2083</v>
      </c>
      <c r="E246" s="5" t="s">
        <v>1529</v>
      </c>
      <c r="F246" s="5" t="s">
        <v>1588</v>
      </c>
      <c r="G246" s="5" t="s">
        <v>2089</v>
      </c>
      <c r="H246" s="5" t="s">
        <v>2090</v>
      </c>
      <c r="I246" s="5" t="s">
        <v>2086</v>
      </c>
      <c r="J246" s="5" t="s">
        <v>1533</v>
      </c>
      <c r="K246" s="5"/>
      <c r="L246" s="5"/>
      <c r="M246" s="5" t="s">
        <v>53</v>
      </c>
      <c r="N246" s="5"/>
    </row>
    <row r="247" spans="1:14">
      <c r="A247" s="5">
        <v>246</v>
      </c>
      <c r="B247" s="6">
        <v>46002</v>
      </c>
      <c r="C247" s="5" t="s">
        <v>74</v>
      </c>
      <c r="D247" s="5" t="s">
        <v>1129</v>
      </c>
      <c r="E247" s="5" t="s">
        <v>1541</v>
      </c>
      <c r="F247" s="5" t="s">
        <v>1555</v>
      </c>
      <c r="G247" s="5" t="s">
        <v>2091</v>
      </c>
      <c r="H247" s="5" t="s">
        <v>2092</v>
      </c>
      <c r="I247" s="5" t="s">
        <v>1978</v>
      </c>
      <c r="J247" s="5" t="s">
        <v>1544</v>
      </c>
      <c r="K247" s="5"/>
      <c r="L247" s="5"/>
      <c r="M247" s="5" t="s">
        <v>52</v>
      </c>
      <c r="N247" s="5"/>
    </row>
    <row r="248" spans="1:14">
      <c r="A248" s="5">
        <v>247</v>
      </c>
      <c r="B248" s="6">
        <v>46002</v>
      </c>
      <c r="C248" s="5" t="s">
        <v>63</v>
      </c>
      <c r="D248" s="5" t="s">
        <v>1568</v>
      </c>
      <c r="E248" s="5" t="s">
        <v>1541</v>
      </c>
      <c r="F248" s="5" t="s">
        <v>2093</v>
      </c>
      <c r="G248" s="5" t="s">
        <v>2094</v>
      </c>
      <c r="H248" s="5" t="s">
        <v>2095</v>
      </c>
      <c r="I248" s="5"/>
      <c r="J248" s="5" t="s">
        <v>1544</v>
      </c>
      <c r="K248" s="5"/>
      <c r="L248" s="5"/>
      <c r="M248" s="5" t="s">
        <v>53</v>
      </c>
      <c r="N248" s="5"/>
    </row>
    <row r="249" spans="1:14">
      <c r="A249" s="5">
        <v>248</v>
      </c>
      <c r="B249" s="6">
        <v>46003</v>
      </c>
      <c r="C249" s="5" t="s">
        <v>63</v>
      </c>
      <c r="D249" s="5" t="s">
        <v>263</v>
      </c>
      <c r="E249" s="5" t="s">
        <v>1541</v>
      </c>
      <c r="F249" s="5" t="s">
        <v>1660</v>
      </c>
      <c r="G249" s="5" t="s">
        <v>2096</v>
      </c>
      <c r="H249" s="5" t="s">
        <v>2097</v>
      </c>
      <c r="I249" s="5" t="s">
        <v>1724</v>
      </c>
      <c r="J249" s="5" t="s">
        <v>1533</v>
      </c>
      <c r="K249" s="5"/>
      <c r="L249" s="5"/>
      <c r="M249" s="5" t="s">
        <v>53</v>
      </c>
      <c r="N249" s="5"/>
    </row>
    <row r="250" spans="1:14">
      <c r="A250" s="5">
        <v>249</v>
      </c>
      <c r="B250" s="6">
        <v>46002</v>
      </c>
      <c r="C250" s="5" t="s">
        <v>124</v>
      </c>
      <c r="D250" s="5" t="s">
        <v>1382</v>
      </c>
      <c r="E250" s="5" t="s">
        <v>1541</v>
      </c>
      <c r="F250" s="5" t="s">
        <v>1555</v>
      </c>
      <c r="G250" s="5" t="s">
        <v>2098</v>
      </c>
      <c r="H250" s="5" t="s">
        <v>2099</v>
      </c>
      <c r="I250" s="5" t="s">
        <v>1805</v>
      </c>
      <c r="J250" s="5" t="s">
        <v>1533</v>
      </c>
      <c r="K250" s="5"/>
      <c r="L250" s="5"/>
      <c r="M250" s="5" t="s">
        <v>53</v>
      </c>
      <c r="N250" s="5"/>
    </row>
    <row r="251" spans="1:14">
      <c r="A251" s="5">
        <v>250</v>
      </c>
      <c r="B251" s="6">
        <v>46005</v>
      </c>
      <c r="C251" s="5" t="s">
        <v>74</v>
      </c>
      <c r="D251" s="5" t="s">
        <v>1107</v>
      </c>
      <c r="E251" s="5" t="s">
        <v>1529</v>
      </c>
      <c r="F251" s="5" t="s">
        <v>1588</v>
      </c>
      <c r="G251" s="5" t="s">
        <v>2100</v>
      </c>
      <c r="H251" s="5" t="s">
        <v>2101</v>
      </c>
      <c r="I251" s="5" t="s">
        <v>2102</v>
      </c>
      <c r="J251" s="5" t="s">
        <v>1533</v>
      </c>
      <c r="K251" s="5"/>
      <c r="L251" s="5"/>
      <c r="M251" s="5" t="s">
        <v>53</v>
      </c>
      <c r="N251" s="5"/>
    </row>
    <row r="252" spans="1:14">
      <c r="A252" s="5">
        <v>251</v>
      </c>
      <c r="B252" s="6">
        <v>46005</v>
      </c>
      <c r="C252" s="5" t="s">
        <v>74</v>
      </c>
      <c r="D252" s="5" t="s">
        <v>1107</v>
      </c>
      <c r="E252" s="5" t="s">
        <v>1541</v>
      </c>
      <c r="F252" s="5" t="s">
        <v>1573</v>
      </c>
      <c r="G252" s="5" t="s">
        <v>2103</v>
      </c>
      <c r="H252" s="5" t="s">
        <v>2104</v>
      </c>
      <c r="I252" s="5" t="s">
        <v>2102</v>
      </c>
      <c r="J252" s="5" t="s">
        <v>1533</v>
      </c>
      <c r="K252" s="5"/>
      <c r="L252" s="5"/>
      <c r="M252" s="5" t="s">
        <v>53</v>
      </c>
      <c r="N252" s="5"/>
    </row>
    <row r="253" spans="1:14">
      <c r="A253" s="5">
        <v>252</v>
      </c>
      <c r="B253" s="6">
        <v>46005</v>
      </c>
      <c r="C253" s="5" t="s">
        <v>74</v>
      </c>
      <c r="D253" s="5" t="s">
        <v>1129</v>
      </c>
      <c r="E253" s="5" t="s">
        <v>1541</v>
      </c>
      <c r="F253" s="5" t="s">
        <v>1542</v>
      </c>
      <c r="G253" s="5" t="s">
        <v>2105</v>
      </c>
      <c r="H253" s="5" t="s">
        <v>2106</v>
      </c>
      <c r="I253" s="5" t="s">
        <v>1978</v>
      </c>
      <c r="J253" s="5" t="s">
        <v>1544</v>
      </c>
      <c r="K253" s="5"/>
      <c r="L253" s="5"/>
      <c r="M253" s="5" t="s">
        <v>52</v>
      </c>
      <c r="N253" s="5"/>
    </row>
    <row r="254" spans="1:14">
      <c r="A254" s="5">
        <v>253</v>
      </c>
      <c r="B254" s="6">
        <v>46006</v>
      </c>
      <c r="C254" s="5" t="s">
        <v>80</v>
      </c>
      <c r="D254" s="5" t="s">
        <v>1551</v>
      </c>
      <c r="E254" s="5" t="s">
        <v>1529</v>
      </c>
      <c r="F254" s="5" t="s">
        <v>1588</v>
      </c>
      <c r="G254" s="5" t="s">
        <v>2107</v>
      </c>
      <c r="H254" s="5" t="s">
        <v>2108</v>
      </c>
      <c r="I254" s="5" t="s">
        <v>1672</v>
      </c>
      <c r="J254" s="5" t="s">
        <v>1533</v>
      </c>
      <c r="K254" s="5"/>
      <c r="L254" s="5"/>
      <c r="M254" s="5" t="s">
        <v>53</v>
      </c>
      <c r="N254" s="5"/>
    </row>
    <row r="255" spans="1:14">
      <c r="A255" s="5">
        <v>254</v>
      </c>
      <c r="B255" s="6">
        <v>46007</v>
      </c>
      <c r="C255" s="5" t="s">
        <v>1141</v>
      </c>
      <c r="D255" s="5" t="s">
        <v>1575</v>
      </c>
      <c r="E255" s="5" t="s">
        <v>1541</v>
      </c>
      <c r="F255" s="5" t="s">
        <v>1660</v>
      </c>
      <c r="G255" s="5" t="s">
        <v>2109</v>
      </c>
      <c r="H255" s="5" t="s">
        <v>2110</v>
      </c>
      <c r="I255" s="5" t="s">
        <v>2111</v>
      </c>
      <c r="J255" s="5" t="s">
        <v>1533</v>
      </c>
      <c r="K255" s="5"/>
      <c r="L255" s="5"/>
      <c r="M255" s="5" t="s">
        <v>53</v>
      </c>
      <c r="N255" s="5"/>
    </row>
    <row r="256" spans="1:14">
      <c r="A256" s="5">
        <v>255</v>
      </c>
      <c r="B256" s="6">
        <v>46006</v>
      </c>
      <c r="C256" s="5" t="s">
        <v>124</v>
      </c>
      <c r="D256" s="5" t="s">
        <v>1382</v>
      </c>
      <c r="E256" s="5" t="s">
        <v>1541</v>
      </c>
      <c r="F256" s="5" t="s">
        <v>1555</v>
      </c>
      <c r="G256" s="5" t="s">
        <v>2112</v>
      </c>
      <c r="H256" s="5" t="s">
        <v>2113</v>
      </c>
      <c r="I256" s="5" t="s">
        <v>1805</v>
      </c>
      <c r="J256" s="5" t="s">
        <v>1544</v>
      </c>
      <c r="K256" s="5"/>
      <c r="L256" s="5"/>
      <c r="M256" s="5" t="s">
        <v>52</v>
      </c>
      <c r="N256" s="5"/>
    </row>
    <row r="257" spans="1:14">
      <c r="A257" s="5">
        <v>256</v>
      </c>
      <c r="B257" s="6">
        <v>46005</v>
      </c>
      <c r="C257" s="5" t="s">
        <v>95</v>
      </c>
      <c r="D257" s="5" t="s">
        <v>1681</v>
      </c>
      <c r="E257" s="5" t="s">
        <v>1529</v>
      </c>
      <c r="F257" s="5" t="s">
        <v>1588</v>
      </c>
      <c r="G257" s="5" t="s">
        <v>2114</v>
      </c>
      <c r="H257" s="5" t="s">
        <v>2115</v>
      </c>
      <c r="I257" s="5" t="s">
        <v>1727</v>
      </c>
      <c r="J257" s="5" t="s">
        <v>1533</v>
      </c>
      <c r="K257" s="5"/>
      <c r="L257" s="5"/>
      <c r="M257" s="5" t="s">
        <v>53</v>
      </c>
      <c r="N257" s="5"/>
    </row>
    <row r="258" spans="1:14">
      <c r="A258" s="5">
        <v>257</v>
      </c>
      <c r="B258" s="6">
        <v>46007</v>
      </c>
      <c r="C258" s="5" t="s">
        <v>63</v>
      </c>
      <c r="D258" s="5" t="s">
        <v>1917</v>
      </c>
      <c r="E258" s="5" t="s">
        <v>1529</v>
      </c>
      <c r="F258" s="5" t="s">
        <v>1588</v>
      </c>
      <c r="G258" s="5" t="s">
        <v>2116</v>
      </c>
      <c r="H258" s="5" t="s">
        <v>2117</v>
      </c>
      <c r="I258" s="5" t="s">
        <v>1920</v>
      </c>
      <c r="J258" s="5" t="s">
        <v>1533</v>
      </c>
      <c r="K258" s="5"/>
      <c r="L258" s="5"/>
      <c r="M258" s="5" t="s">
        <v>53</v>
      </c>
      <c r="N258" s="5"/>
    </row>
    <row r="259" spans="1:14">
      <c r="A259" s="5">
        <v>258</v>
      </c>
      <c r="B259" s="6">
        <v>46009</v>
      </c>
      <c r="C259" s="5" t="s">
        <v>237</v>
      </c>
      <c r="D259" s="5" t="s">
        <v>1254</v>
      </c>
      <c r="E259" s="5" t="s">
        <v>1529</v>
      </c>
      <c r="F259" s="5" t="s">
        <v>1588</v>
      </c>
      <c r="G259" s="5" t="s">
        <v>2118</v>
      </c>
      <c r="H259" s="5" t="s">
        <v>2119</v>
      </c>
      <c r="I259" s="5" t="s">
        <v>2063</v>
      </c>
      <c r="J259" s="5" t="s">
        <v>1533</v>
      </c>
      <c r="K259" s="5"/>
      <c r="L259" s="5"/>
      <c r="M259" s="5" t="s">
        <v>53</v>
      </c>
      <c r="N259" s="5"/>
    </row>
    <row r="260" spans="1:14">
      <c r="A260" s="5">
        <v>259</v>
      </c>
      <c r="B260" s="6">
        <v>46009</v>
      </c>
      <c r="C260" s="5" t="s">
        <v>1141</v>
      </c>
      <c r="D260" s="5" t="s">
        <v>1329</v>
      </c>
      <c r="E260" s="5" t="s">
        <v>1541</v>
      </c>
      <c r="F260" s="5" t="s">
        <v>1660</v>
      </c>
      <c r="G260" s="5" t="s">
        <v>2120</v>
      </c>
      <c r="H260" s="5" t="s">
        <v>2121</v>
      </c>
      <c r="I260" s="5" t="s">
        <v>1567</v>
      </c>
      <c r="J260" s="5" t="s">
        <v>1544</v>
      </c>
      <c r="K260" s="5"/>
      <c r="L260" s="5"/>
      <c r="M260" s="5" t="s">
        <v>52</v>
      </c>
      <c r="N260" s="5"/>
    </row>
    <row r="261" spans="1:14">
      <c r="A261" s="5">
        <v>260</v>
      </c>
      <c r="B261" s="6">
        <v>46009</v>
      </c>
      <c r="C261" s="5" t="s">
        <v>46</v>
      </c>
      <c r="D261" s="5" t="s">
        <v>1123</v>
      </c>
      <c r="E261" s="5" t="s">
        <v>1529</v>
      </c>
      <c r="F261" s="5" t="s">
        <v>1593</v>
      </c>
      <c r="G261" s="5"/>
      <c r="H261" s="5" t="s">
        <v>2122</v>
      </c>
      <c r="I261" s="5" t="s">
        <v>1644</v>
      </c>
      <c r="J261" s="5" t="s">
        <v>1533</v>
      </c>
      <c r="K261" s="5"/>
      <c r="L261" s="5"/>
      <c r="M261" s="5" t="s">
        <v>53</v>
      </c>
      <c r="N261" s="5"/>
    </row>
    <row r="262" spans="1:14">
      <c r="A262" s="5">
        <v>261</v>
      </c>
      <c r="B262" s="6">
        <v>46010</v>
      </c>
      <c r="C262" s="5" t="s">
        <v>237</v>
      </c>
      <c r="D262" s="5" t="s">
        <v>1254</v>
      </c>
      <c r="E262" s="5" t="s">
        <v>1541</v>
      </c>
      <c r="F262" s="5" t="s">
        <v>2123</v>
      </c>
      <c r="G262" s="5" t="s">
        <v>2124</v>
      </c>
      <c r="H262" s="5" t="s">
        <v>2125</v>
      </c>
      <c r="I262" s="5" t="s">
        <v>2063</v>
      </c>
      <c r="J262" s="5" t="s">
        <v>1533</v>
      </c>
      <c r="K262" s="5"/>
      <c r="L262" s="5"/>
      <c r="M262" s="5" t="s">
        <v>53</v>
      </c>
      <c r="N262" s="5"/>
    </row>
    <row r="263" spans="1:14">
      <c r="A263" s="5">
        <v>262</v>
      </c>
      <c r="B263" s="6">
        <v>46010</v>
      </c>
      <c r="C263" s="5" t="s">
        <v>1141</v>
      </c>
      <c r="D263" s="5" t="s">
        <v>1575</v>
      </c>
      <c r="E263" s="5" t="s">
        <v>1610</v>
      </c>
      <c r="F263" s="5" t="s">
        <v>2126</v>
      </c>
      <c r="G263" s="5"/>
      <c r="H263" s="5" t="s">
        <v>2127</v>
      </c>
      <c r="I263" s="5" t="s">
        <v>2111</v>
      </c>
      <c r="J263" s="5" t="s">
        <v>1533</v>
      </c>
      <c r="K263" s="5"/>
      <c r="L263" s="5"/>
      <c r="M263" s="5" t="s">
        <v>53</v>
      </c>
      <c r="N263" s="5"/>
    </row>
    <row r="264" spans="1:14">
      <c r="A264" s="5">
        <v>263</v>
      </c>
      <c r="B264" s="6">
        <v>46011</v>
      </c>
      <c r="C264" s="5" t="s">
        <v>80</v>
      </c>
      <c r="D264" s="5" t="s">
        <v>1551</v>
      </c>
      <c r="E264" s="5" t="s">
        <v>1529</v>
      </c>
      <c r="F264" s="5" t="s">
        <v>1588</v>
      </c>
      <c r="G264" s="5" t="s">
        <v>2128</v>
      </c>
      <c r="H264" s="5" t="s">
        <v>2129</v>
      </c>
      <c r="I264" s="5" t="s">
        <v>2130</v>
      </c>
      <c r="J264" s="5" t="s">
        <v>1533</v>
      </c>
      <c r="K264" s="5"/>
      <c r="L264" s="5"/>
      <c r="M264" s="5" t="s">
        <v>53</v>
      </c>
      <c r="N264" s="5"/>
    </row>
    <row r="265" spans="1:14">
      <c r="A265" s="5">
        <v>264</v>
      </c>
      <c r="B265" s="6">
        <v>46014</v>
      </c>
      <c r="C265" s="5" t="s">
        <v>115</v>
      </c>
      <c r="D265" s="5" t="s">
        <v>979</v>
      </c>
      <c r="E265" s="5" t="s">
        <v>1547</v>
      </c>
      <c r="F265" s="5" t="s">
        <v>1548</v>
      </c>
      <c r="G265" s="5" t="s">
        <v>2131</v>
      </c>
      <c r="H265" s="5" t="s">
        <v>2132</v>
      </c>
      <c r="I265" s="5" t="s">
        <v>1654</v>
      </c>
      <c r="J265" s="5" t="s">
        <v>1533</v>
      </c>
      <c r="K265" s="5"/>
      <c r="L265" s="5"/>
      <c r="M265" s="5" t="s">
        <v>53</v>
      </c>
      <c r="N265" s="5"/>
    </row>
    <row r="266" spans="1:14">
      <c r="A266" s="5">
        <v>265</v>
      </c>
      <c r="B266" s="6">
        <v>46013</v>
      </c>
      <c r="C266" s="5" t="s">
        <v>63</v>
      </c>
      <c r="D266" s="5" t="s">
        <v>263</v>
      </c>
      <c r="E266" s="5" t="s">
        <v>1529</v>
      </c>
      <c r="F266" s="5" t="s">
        <v>1588</v>
      </c>
      <c r="G266" s="5" t="s">
        <v>2133</v>
      </c>
      <c r="H266" s="5" t="s">
        <v>2134</v>
      </c>
      <c r="I266" s="5" t="s">
        <v>1724</v>
      </c>
      <c r="J266" s="5" t="s">
        <v>1533</v>
      </c>
      <c r="K266" s="5"/>
      <c r="L266" s="5"/>
      <c r="M266" s="5" t="s">
        <v>53</v>
      </c>
      <c r="N266" s="5"/>
    </row>
    <row r="267" spans="1:14">
      <c r="A267" s="5">
        <v>266</v>
      </c>
      <c r="B267" s="6">
        <v>46012</v>
      </c>
      <c r="C267" s="5" t="s">
        <v>90</v>
      </c>
      <c r="D267" s="5" t="s">
        <v>1781</v>
      </c>
      <c r="E267" s="5" t="s">
        <v>1610</v>
      </c>
      <c r="F267" s="5" t="s">
        <v>2126</v>
      </c>
      <c r="G267" s="5"/>
      <c r="H267" s="5" t="s">
        <v>2135</v>
      </c>
      <c r="I267" s="5" t="s">
        <v>1601</v>
      </c>
      <c r="J267" s="5" t="s">
        <v>1533</v>
      </c>
      <c r="K267" s="5"/>
      <c r="L267" s="5"/>
      <c r="M267" s="5" t="s">
        <v>53</v>
      </c>
      <c r="N267" s="5"/>
    </row>
    <row r="268" spans="1:14">
      <c r="A268" s="5">
        <v>267</v>
      </c>
      <c r="B268" s="6">
        <v>46016</v>
      </c>
      <c r="C268" s="5" t="s">
        <v>90</v>
      </c>
      <c r="D268" s="5" t="s">
        <v>1598</v>
      </c>
      <c r="E268" s="5" t="s">
        <v>1529</v>
      </c>
      <c r="F268" s="5" t="s">
        <v>1588</v>
      </c>
      <c r="G268" s="5" t="s">
        <v>2136</v>
      </c>
      <c r="H268" s="5" t="s">
        <v>2137</v>
      </c>
      <c r="I268" s="5" t="s">
        <v>1993</v>
      </c>
      <c r="J268" s="5" t="s">
        <v>1533</v>
      </c>
      <c r="K268" s="5"/>
      <c r="L268" s="5"/>
      <c r="M268" s="5" t="s">
        <v>53</v>
      </c>
      <c r="N268" s="5"/>
    </row>
    <row r="269" spans="1:14">
      <c r="A269" s="5">
        <v>268</v>
      </c>
      <c r="B269" s="6">
        <v>46016</v>
      </c>
      <c r="C269" s="5" t="s">
        <v>103</v>
      </c>
      <c r="D269" s="5" t="s">
        <v>1546</v>
      </c>
      <c r="E269" s="5" t="s">
        <v>1541</v>
      </c>
      <c r="F269" s="5" t="s">
        <v>1573</v>
      </c>
      <c r="G269" s="5" t="s">
        <v>2138</v>
      </c>
      <c r="H269" s="5" t="s">
        <v>2139</v>
      </c>
      <c r="I269" s="5" t="s">
        <v>1550</v>
      </c>
      <c r="J269" s="5" t="s">
        <v>1533</v>
      </c>
      <c r="K269" s="5"/>
      <c r="L269" s="5"/>
      <c r="M269" s="5" t="s">
        <v>53</v>
      </c>
      <c r="N269" s="5"/>
    </row>
    <row r="270" spans="1:14">
      <c r="A270" s="5">
        <v>269</v>
      </c>
      <c r="B270" s="6">
        <v>46016</v>
      </c>
      <c r="C270" s="5" t="s">
        <v>155</v>
      </c>
      <c r="D270" s="5" t="s">
        <v>2140</v>
      </c>
      <c r="E270" s="5" t="s">
        <v>1529</v>
      </c>
      <c r="F270" s="5" t="s">
        <v>1593</v>
      </c>
      <c r="G270" s="5" t="s">
        <v>2141</v>
      </c>
      <c r="H270" s="5" t="s">
        <v>2142</v>
      </c>
      <c r="I270" s="5" t="s">
        <v>1624</v>
      </c>
      <c r="J270" s="5" t="s">
        <v>1544</v>
      </c>
      <c r="K270" s="5"/>
      <c r="L270" s="5"/>
      <c r="M270" s="5" t="s">
        <v>53</v>
      </c>
      <c r="N270" s="5"/>
    </row>
    <row r="271" spans="1:14">
      <c r="A271" s="5">
        <v>270</v>
      </c>
      <c r="B271" s="6">
        <v>46017</v>
      </c>
      <c r="C271" s="5" t="s">
        <v>124</v>
      </c>
      <c r="D271" s="5" t="s">
        <v>1503</v>
      </c>
      <c r="E271" s="5" t="s">
        <v>1529</v>
      </c>
      <c r="F271" s="5" t="s">
        <v>1588</v>
      </c>
      <c r="G271" s="5" t="s">
        <v>2143</v>
      </c>
      <c r="H271" s="5" t="s">
        <v>2144</v>
      </c>
      <c r="I271" s="5" t="s">
        <v>1790</v>
      </c>
      <c r="J271" s="5" t="s">
        <v>1533</v>
      </c>
      <c r="K271" s="5"/>
      <c r="L271" s="5"/>
      <c r="M271" s="5" t="s">
        <v>53</v>
      </c>
      <c r="N271" s="5"/>
    </row>
    <row r="272" spans="1:14">
      <c r="A272" s="5">
        <v>271</v>
      </c>
      <c r="B272" s="6">
        <v>46020</v>
      </c>
      <c r="C272" s="5" t="s">
        <v>90</v>
      </c>
      <c r="D272" s="5" t="s">
        <v>2017</v>
      </c>
      <c r="E272" s="5" t="s">
        <v>1529</v>
      </c>
      <c r="F272" s="5" t="s">
        <v>1593</v>
      </c>
      <c r="G272" s="5" t="s">
        <v>2145</v>
      </c>
      <c r="H272" s="5" t="s">
        <v>2146</v>
      </c>
      <c r="I272" s="5" t="s">
        <v>1601</v>
      </c>
      <c r="J272" s="5" t="s">
        <v>1544</v>
      </c>
      <c r="K272" s="5"/>
      <c r="L272" s="5"/>
      <c r="M272" s="5" t="s">
        <v>52</v>
      </c>
      <c r="N272" s="5"/>
    </row>
    <row r="273" spans="1:14">
      <c r="A273" s="5">
        <v>272</v>
      </c>
      <c r="B273" s="6">
        <v>46020</v>
      </c>
      <c r="C273" s="5" t="s">
        <v>1151</v>
      </c>
      <c r="D273" s="5" t="s">
        <v>1554</v>
      </c>
      <c r="E273" s="5" t="s">
        <v>1541</v>
      </c>
      <c r="F273" s="5" t="s">
        <v>1555</v>
      </c>
      <c r="G273" s="5" t="s">
        <v>2147</v>
      </c>
      <c r="H273" s="5" t="s">
        <v>2148</v>
      </c>
      <c r="I273" s="5" t="s">
        <v>2059</v>
      </c>
      <c r="J273" s="5" t="s">
        <v>1544</v>
      </c>
      <c r="K273" s="5"/>
      <c r="L273" s="5"/>
      <c r="M273" s="5" t="s">
        <v>53</v>
      </c>
      <c r="N273" s="5" t="s">
        <v>2149</v>
      </c>
    </row>
    <row r="274" spans="1:14">
      <c r="A274" s="5">
        <v>273</v>
      </c>
      <c r="B274" s="6">
        <v>46020</v>
      </c>
      <c r="C274" s="5" t="s">
        <v>74</v>
      </c>
      <c r="D274" s="5" t="s">
        <v>1129</v>
      </c>
      <c r="E274" s="5" t="s">
        <v>1541</v>
      </c>
      <c r="F274" s="5" t="s">
        <v>1555</v>
      </c>
      <c r="G274" s="5" t="s">
        <v>2150</v>
      </c>
      <c r="H274" s="5" t="s">
        <v>2151</v>
      </c>
      <c r="I274" s="5" t="s">
        <v>1978</v>
      </c>
      <c r="J274" s="5" t="s">
        <v>1544</v>
      </c>
      <c r="K274" s="5"/>
      <c r="L274" s="5"/>
      <c r="M274" s="5" t="s">
        <v>52</v>
      </c>
      <c r="N274" s="5"/>
    </row>
    <row r="275" spans="1:14">
      <c r="A275" s="5">
        <v>274</v>
      </c>
      <c r="B275" s="6">
        <v>46022</v>
      </c>
      <c r="C275" s="5" t="s">
        <v>103</v>
      </c>
      <c r="D275" s="5" t="s">
        <v>1546</v>
      </c>
      <c r="E275" s="5" t="s">
        <v>1541</v>
      </c>
      <c r="F275" s="5" t="s">
        <v>1555</v>
      </c>
      <c r="G275" s="5" t="s">
        <v>2152</v>
      </c>
      <c r="H275" s="5" t="s">
        <v>2153</v>
      </c>
      <c r="I275" s="5" t="s">
        <v>1550</v>
      </c>
      <c r="J275" s="5" t="s">
        <v>1544</v>
      </c>
      <c r="K275" s="5"/>
      <c r="L275" s="5"/>
      <c r="M275" s="5" t="s">
        <v>52</v>
      </c>
      <c r="N275" s="5"/>
    </row>
    <row r="276" spans="1:14">
      <c r="A276" s="5">
        <v>275</v>
      </c>
      <c r="B276" s="6">
        <v>46022</v>
      </c>
      <c r="C276" s="5" t="s">
        <v>74</v>
      </c>
      <c r="D276" s="5" t="s">
        <v>1107</v>
      </c>
      <c r="E276" s="5" t="s">
        <v>1541</v>
      </c>
      <c r="F276" s="5" t="s">
        <v>1542</v>
      </c>
      <c r="G276" s="5" t="s">
        <v>2154</v>
      </c>
      <c r="H276" s="5" t="s">
        <v>2155</v>
      </c>
      <c r="I276" s="5" t="s">
        <v>2102</v>
      </c>
      <c r="J276" s="5" t="s">
        <v>1533</v>
      </c>
      <c r="K276" s="5"/>
      <c r="L276" s="5"/>
      <c r="M276" s="5" t="s">
        <v>53</v>
      </c>
      <c r="N276" s="5"/>
    </row>
    <row r="277" spans="1:14">
      <c r="A277" s="5">
        <v>276</v>
      </c>
      <c r="B277" s="6">
        <v>46022</v>
      </c>
      <c r="C277" s="5" t="s">
        <v>63</v>
      </c>
      <c r="D277" s="5" t="s">
        <v>263</v>
      </c>
      <c r="E277" s="5" t="s">
        <v>1541</v>
      </c>
      <c r="F277" s="5" t="s">
        <v>1728</v>
      </c>
      <c r="G277" s="5" t="s">
        <v>2156</v>
      </c>
      <c r="H277" s="5" t="s">
        <v>2157</v>
      </c>
      <c r="I277" s="5" t="s">
        <v>1724</v>
      </c>
      <c r="J277" s="5" t="s">
        <v>1533</v>
      </c>
      <c r="K277" s="5"/>
      <c r="L277" s="5"/>
      <c r="M277" s="5" t="s">
        <v>53</v>
      </c>
      <c r="N277" s="5"/>
    </row>
  </sheetData>
  <autoFilter xmlns:etc="http://www.wps.cn/officeDocument/2017/etCustomData" ref="A1:N277" etc:filterBottomFollowUsedRange="0">
    <filterColumn colId="1">
      <filters>
        <dateGroupItem year="2025" month="12" dateTimeGrouping="month"/>
      </filters>
    </filterColumn>
    <extLst>
      <etc:autoFilterAnalysis etc:version="v1" etc:showPane="1">
        <etc:analysisCharts>
          <etc:chart etc:type="pie">
            <etc:category etc:colId="1"/>
            <etc:seriesCollections etc:count="1">
              <etc:series etc:colId="1" etc:subtotal="count"/>
            </etc:seriesCollections>
          </etc:chart>
        </etc:analysisCharts>
      </etc:autoFilterAnalysis>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P3"/>
  <sheetViews>
    <sheetView workbookViewId="0">
      <selection activeCell="A1" sqref="$A1:$XFD1"/>
    </sheetView>
  </sheetViews>
  <sheetFormatPr defaultColWidth="9" defaultRowHeight="16.8" outlineLevelRow="2"/>
  <cols>
    <col min="12" max="12" width="11.5" customWidth="1"/>
  </cols>
  <sheetData>
    <row r="2" spans="2:16">
      <c r="B2" s="1" t="s">
        <v>2158</v>
      </c>
      <c r="D2" s="2" t="s">
        <v>2159</v>
      </c>
      <c r="E2" s="1" t="s">
        <v>53</v>
      </c>
      <c r="F2" s="1" t="s">
        <v>53</v>
      </c>
      <c r="G2" s="1">
        <v>5.32729200307192e+17</v>
      </c>
      <c r="H2" s="1">
        <v>0</v>
      </c>
      <c r="I2" s="1" t="s">
        <v>2160</v>
      </c>
      <c r="J2" s="1">
        <v>15925261823</v>
      </c>
      <c r="K2" s="1" t="s">
        <v>2161</v>
      </c>
      <c r="L2" s="3">
        <v>44629</v>
      </c>
      <c r="M2" s="1" t="s">
        <v>1547</v>
      </c>
      <c r="N2" s="1" t="s">
        <v>685</v>
      </c>
      <c r="O2" s="1" t="s">
        <v>2162</v>
      </c>
      <c r="P2" s="1" t="s">
        <v>52</v>
      </c>
    </row>
    <row r="3" spans="2:16">
      <c r="B3" s="1" t="s">
        <v>2158</v>
      </c>
      <c r="D3" s="2" t="s">
        <v>2163</v>
      </c>
      <c r="E3" s="1" t="s">
        <v>53</v>
      </c>
      <c r="F3" s="1" t="s">
        <v>53</v>
      </c>
      <c r="G3" s="1" t="s">
        <v>2164</v>
      </c>
      <c r="H3" s="1">
        <v>0</v>
      </c>
      <c r="I3" s="1" t="s">
        <v>2165</v>
      </c>
      <c r="J3" s="1">
        <v>17721307727</v>
      </c>
      <c r="K3" s="1" t="s">
        <v>2161</v>
      </c>
      <c r="L3" s="3">
        <v>45217</v>
      </c>
      <c r="M3" s="1" t="s">
        <v>1547</v>
      </c>
      <c r="N3" s="1" t="s">
        <v>685</v>
      </c>
      <c r="O3" s="1" t="s">
        <v>2166</v>
      </c>
      <c r="P3" s="1" t="s">
        <v>52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指标统计</vt:lpstr>
      <vt:lpstr>25年安全事故明细（1-12月）</vt:lpstr>
      <vt:lpstr>24年事故（安全侧）</vt:lpstr>
      <vt:lpstr>Sheet11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Brisbane</cp:lastModifiedBy>
  <dcterms:created xsi:type="dcterms:W3CDTF">2025-05-18T09:41:00Z</dcterms:created>
  <dcterms:modified xsi:type="dcterms:W3CDTF">2026-04-08T14:35:54Z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CAADF9C07506D36AD54D13691CEAD0F0_43</vt:lpwstr>
  </property>
  <property fmtid="{D5CDD505-2E9C-101B-9397-08002B2CF9AE}" pid="3" name="KSOProductBuildVer">
    <vt:lpwstr>2052-12.1.25205.25205</vt:lpwstr>
  </property>
  <property fmtid="{D5CDD505-2E9C-101B-9397-08002B2CF9AE}" pid="4" name="CalculationRule">
    <vt:i4>0</vt:i4>
  </property>
</Properties>
</file>